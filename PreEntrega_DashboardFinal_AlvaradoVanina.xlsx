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54261\Desktop\CURSO EXCEL\clase 9\"/>
    </mc:Choice>
  </mc:AlternateContent>
  <xr:revisionPtr revIDLastSave="0" documentId="8_{5C04CB24-0A0A-4D95-B900-9551F9AF67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 Final" sheetId="1" r:id="rId1"/>
    <sheet name="Datos_Ventas" sheetId="3" r:id="rId2"/>
    <sheet name="Resumen_Mensual" sheetId="4" state="hidden" r:id="rId3"/>
    <sheet name="Resumen_Categoria" sheetId="5" state="hidden" r:id="rId4"/>
    <sheet name="Resumen_Region" sheetId="6" state="hidden" r:id="rId5"/>
    <sheet name="Datos_Grafico_Dispersion" sheetId="7" state="hidden" r:id="rId6"/>
    <sheet name="IA_Insights" sheetId="8" state="hidden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74" i="3" l="1"/>
  <c r="G374" i="3"/>
  <c r="M373" i="3"/>
  <c r="L373" i="3"/>
  <c r="M372" i="3"/>
  <c r="L372" i="3"/>
  <c r="M371" i="3"/>
  <c r="L371" i="3"/>
  <c r="M370" i="3"/>
  <c r="L370" i="3"/>
  <c r="M369" i="3"/>
  <c r="L369" i="3"/>
  <c r="M368" i="3"/>
  <c r="L368" i="3"/>
  <c r="M367" i="3"/>
  <c r="L367" i="3"/>
  <c r="M366" i="3"/>
  <c r="L366" i="3"/>
  <c r="M365" i="3"/>
  <c r="L365" i="3"/>
  <c r="M364" i="3"/>
  <c r="L364" i="3"/>
  <c r="M363" i="3"/>
  <c r="L363" i="3"/>
  <c r="M362" i="3"/>
  <c r="L362" i="3"/>
  <c r="M361" i="3"/>
  <c r="L361" i="3"/>
  <c r="M360" i="3"/>
  <c r="L360" i="3"/>
  <c r="M359" i="3"/>
  <c r="L359" i="3"/>
  <c r="M358" i="3"/>
  <c r="L358" i="3"/>
  <c r="M357" i="3"/>
  <c r="L357" i="3"/>
  <c r="M356" i="3"/>
  <c r="L356" i="3"/>
  <c r="M355" i="3"/>
  <c r="L355" i="3"/>
  <c r="M354" i="3"/>
  <c r="L354" i="3"/>
  <c r="M353" i="3"/>
  <c r="L353" i="3"/>
  <c r="M352" i="3"/>
  <c r="L352" i="3"/>
  <c r="M351" i="3"/>
  <c r="L351" i="3"/>
  <c r="M350" i="3"/>
  <c r="L350" i="3"/>
  <c r="M349" i="3"/>
  <c r="L349" i="3"/>
  <c r="M348" i="3"/>
  <c r="L348" i="3"/>
  <c r="M347" i="3"/>
  <c r="L347" i="3"/>
  <c r="M346" i="3"/>
  <c r="L346" i="3"/>
  <c r="M345" i="3"/>
  <c r="L345" i="3"/>
  <c r="M344" i="3"/>
  <c r="L344" i="3"/>
  <c r="M343" i="3"/>
  <c r="L343" i="3"/>
  <c r="M342" i="3"/>
  <c r="L342" i="3"/>
  <c r="M341" i="3"/>
  <c r="L341" i="3"/>
  <c r="M340" i="3"/>
  <c r="L340" i="3"/>
  <c r="M339" i="3"/>
  <c r="L339" i="3"/>
  <c r="M338" i="3"/>
  <c r="L338" i="3"/>
  <c r="M337" i="3"/>
  <c r="L337" i="3"/>
  <c r="M336" i="3"/>
  <c r="L336" i="3"/>
  <c r="M335" i="3"/>
  <c r="L335" i="3"/>
  <c r="M334" i="3"/>
  <c r="L334" i="3"/>
  <c r="M333" i="3"/>
  <c r="L333" i="3"/>
  <c r="M332" i="3"/>
  <c r="L332" i="3"/>
  <c r="M331" i="3"/>
  <c r="L331" i="3"/>
  <c r="M330" i="3"/>
  <c r="L330" i="3"/>
  <c r="M329" i="3"/>
  <c r="L329" i="3"/>
  <c r="M328" i="3"/>
  <c r="L328" i="3"/>
  <c r="M327" i="3"/>
  <c r="L327" i="3"/>
  <c r="M326" i="3"/>
  <c r="L326" i="3"/>
  <c r="M325" i="3"/>
  <c r="L325" i="3"/>
  <c r="M324" i="3"/>
  <c r="L324" i="3"/>
  <c r="M323" i="3"/>
  <c r="L323" i="3"/>
  <c r="M322" i="3"/>
  <c r="L322" i="3"/>
  <c r="M321" i="3"/>
  <c r="L321" i="3"/>
  <c r="M320" i="3"/>
  <c r="L320" i="3"/>
  <c r="M319" i="3"/>
  <c r="L319" i="3"/>
  <c r="M318" i="3"/>
  <c r="L318" i="3"/>
  <c r="M317" i="3"/>
  <c r="L317" i="3"/>
  <c r="M316" i="3"/>
  <c r="L316" i="3"/>
  <c r="M315" i="3"/>
  <c r="L315" i="3"/>
  <c r="M314" i="3"/>
  <c r="L314" i="3"/>
  <c r="M313" i="3"/>
  <c r="L313" i="3"/>
  <c r="M312" i="3"/>
  <c r="L312" i="3"/>
  <c r="M311" i="3"/>
  <c r="L311" i="3"/>
  <c r="M310" i="3"/>
  <c r="L310" i="3"/>
  <c r="M309" i="3"/>
  <c r="L309" i="3"/>
  <c r="M308" i="3"/>
  <c r="L308" i="3"/>
  <c r="M307" i="3"/>
  <c r="L307" i="3"/>
  <c r="M306" i="3"/>
  <c r="L306" i="3"/>
  <c r="M305" i="3"/>
  <c r="L305" i="3"/>
  <c r="M304" i="3"/>
  <c r="L304" i="3"/>
  <c r="M303" i="3"/>
  <c r="L303" i="3"/>
  <c r="M302" i="3"/>
  <c r="L302" i="3"/>
  <c r="M301" i="3"/>
  <c r="L301" i="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3" i="3"/>
  <c r="L3" i="3"/>
  <c r="M2" i="3"/>
  <c r="L2" i="3"/>
  <c r="B36" i="1"/>
  <c r="C33" i="1"/>
  <c r="C32" i="1"/>
  <c r="C31" i="1"/>
  <c r="C30" i="1"/>
  <c r="I17" i="1"/>
  <c r="I16" i="1"/>
  <c r="I15" i="1"/>
  <c r="K10" i="1"/>
  <c r="E10" i="1"/>
  <c r="B10" i="1"/>
  <c r="H10" i="1" l="1"/>
  <c r="C25" i="1"/>
  <c r="C19" i="1"/>
  <c r="C24" i="1"/>
  <c r="C20" i="1"/>
  <c r="C26" i="1"/>
  <c r="C22" i="1"/>
  <c r="C16" i="1"/>
  <c r="C21" i="1"/>
  <c r="C17" i="1"/>
  <c r="C15" i="1"/>
  <c r="C18" i="1"/>
  <c r="C23" i="1"/>
</calcChain>
</file>

<file path=xl/sharedStrings.xml><?xml version="1.0" encoding="utf-8"?>
<sst xmlns="http://schemas.openxmlformats.org/spreadsheetml/2006/main" count="3112" uniqueCount="486">
  <si>
    <t>DASHBOARD EJECUTIVO DE VENTAS</t>
  </si>
  <si>
    <t>Sistema de Inteligencia de Negocios · Capa de visualización final</t>
  </si>
  <si>
    <t>SEGMENTADORES INTERACTIVOS</t>
  </si>
  <si>
    <t>Año</t>
  </si>
  <si>
    <t>Categoría</t>
  </si>
  <si>
    <t>Región</t>
  </si>
  <si>
    <t>Frutos Secos</t>
  </si>
  <si>
    <t>Todos</t>
  </si>
  <si>
    <t>VENTAS TOTALES</t>
  </si>
  <si>
    <t>CANTIDAD TOTAL</t>
  </si>
  <si>
    <t>TICKET PROMEDIO</t>
  </si>
  <si>
    <t>CRECIMIENTO 2026 VS 2025</t>
  </si>
  <si>
    <t>EVOLUCIÓN MENSUAL</t>
  </si>
  <si>
    <t>VENTAS POR CATEGORÍA</t>
  </si>
  <si>
    <t>Mes</t>
  </si>
  <si>
    <t>Ventas</t>
  </si>
  <si>
    <t>Jan</t>
  </si>
  <si>
    <t>Cereales</t>
  </si>
  <si>
    <t>Feb</t>
  </si>
  <si>
    <t>Frutas Deshidratadas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</si>
  <si>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</si>
  <si>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</si>
  <si>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</si>
  <si>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</si>
  <si>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</si>
  <si>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</si>
  <si>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</si>
  <si>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</si>
  <si>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</si>
  <si>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</si>
  <si>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VENTAS POR REGIÓN</t>
  </si>
  <si>
    <t>LECTURA EJECUTIVA</t>
  </si>
  <si>
    <t>• Frutos Secos concentra la mayor facturación acumulada.
• Norte presenta la mayor facturación acumulada por región.
• La dispersión cantidad–ventas permite ver que el volumen no explica por sí solo la facturación: también interviene el precio.</t>
  </si>
  <si>
    <t>Este</t>
  </si>
  <si>
    <t>Norte</t>
  </si>
  <si>
    <t>Oeste</t>
  </si>
  <si>
    <t>Sur</t>
  </si>
  <si>
    <t>ID_VENTAS</t>
  </si>
  <si>
    <t>FECHA</t>
  </si>
  <si>
    <t>ID_CLIENTES</t>
  </si>
  <si>
    <t>ID_PRODUCTOS</t>
  </si>
  <si>
    <t>CANTIDAD</t>
  </si>
  <si>
    <t>PRECIO</t>
  </si>
  <si>
    <t>MONTO COMPRA</t>
  </si>
  <si>
    <t>PRODUCTO</t>
  </si>
  <si>
    <t>CATEGORIA</t>
  </si>
  <si>
    <t>CLIENTE</t>
  </si>
  <si>
    <t>REGION</t>
  </si>
  <si>
    <t>AÑO</t>
  </si>
  <si>
    <t>MES</t>
  </si>
  <si>
    <t>V001</t>
  </si>
  <si>
    <t>C001</t>
  </si>
  <si>
    <t>P001</t>
  </si>
  <si>
    <t>Mani Salado</t>
  </si>
  <si>
    <t>Juan Lopez</t>
  </si>
  <si>
    <t>V002</t>
  </si>
  <si>
    <t>C002</t>
  </si>
  <si>
    <t>P002</t>
  </si>
  <si>
    <t>Cereal De Chocolate</t>
  </si>
  <si>
    <t>Pedro Perez</t>
  </si>
  <si>
    <t>V003</t>
  </si>
  <si>
    <t>C003</t>
  </si>
  <si>
    <t>P003</t>
  </si>
  <si>
    <t>Cereal Sin Azucar</t>
  </si>
  <si>
    <t>Susana Martinez</t>
  </si>
  <si>
    <t>V004</t>
  </si>
  <si>
    <t>C004</t>
  </si>
  <si>
    <t>P004</t>
  </si>
  <si>
    <t>Pasa De Uva</t>
  </si>
  <si>
    <t>Ruben Gonzalez</t>
  </si>
  <si>
    <t>V005</t>
  </si>
  <si>
    <t>C005</t>
  </si>
  <si>
    <t>P005</t>
  </si>
  <si>
    <t>Nueces</t>
  </si>
  <si>
    <t>Nelida Gomez</t>
  </si>
  <si>
    <t>V006</t>
  </si>
  <si>
    <t>C006</t>
  </si>
  <si>
    <t>Noelia Paez</t>
  </si>
  <si>
    <t>V007</t>
  </si>
  <si>
    <t>C007</t>
  </si>
  <si>
    <t>Veronica Gutierrez</t>
  </si>
  <si>
    <t>V008</t>
  </si>
  <si>
    <t>C008</t>
  </si>
  <si>
    <t>Melina Sanchez</t>
  </si>
  <si>
    <t>V009</t>
  </si>
  <si>
    <t>C009</t>
  </si>
  <si>
    <t>Cristian Morales</t>
  </si>
  <si>
    <t>V010</t>
  </si>
  <si>
    <t>C010</t>
  </si>
  <si>
    <t>Diego Salas</t>
  </si>
  <si>
    <t>V011</t>
  </si>
  <si>
    <t>C011</t>
  </si>
  <si>
    <t>Jose Martin</t>
  </si>
  <si>
    <t>V012</t>
  </si>
  <si>
    <t>C012</t>
  </si>
  <si>
    <t>Marcelo Suarez</t>
  </si>
  <si>
    <t>V013</t>
  </si>
  <si>
    <t>C013</t>
  </si>
  <si>
    <t>Valeria Rojas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</si>
  <si>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</si>
  <si>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</si>
  <si>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</si>
  <si>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</si>
  <si>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</si>
  <si>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</si>
  <si>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</si>
  <si>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</si>
  <si>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</si>
  <si>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</si>
  <si>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</si>
  <si>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</si>
  <si>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</si>
  <si>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</si>
  <si>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</si>
  <si>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</si>
  <si>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</si>
  <si>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</si>
  <si>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</si>
  <si>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</si>
  <si>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</si>
  <si>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</si>
  <si>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</si>
  <si>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</si>
  <si>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</si>
  <si>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</si>
  <si>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</si>
  <si>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</si>
  <si>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</si>
  <si>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</si>
  <si>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</si>
  <si>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</si>
  <si>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</si>
  <si>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</si>
  <si>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</si>
  <si>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</si>
  <si>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</si>
  <si>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</si>
  <si>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</si>
  <si>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</si>
  <si>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</si>
  <si>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</si>
  <si>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</si>
  <si>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</si>
  <si>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</si>
  <si>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</si>
  <si>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</si>
  <si>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</si>
  <si>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</si>
  <si>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</si>
  <si>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</si>
  <si>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</si>
  <si>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</si>
  <si>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</si>
  <si>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</si>
  <si>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</si>
  <si>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</si>
  <si>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</si>
  <si>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</si>
  <si>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</si>
  <si>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</si>
  <si>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</si>
  <si>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</si>
  <si>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</si>
  <si>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</si>
  <si>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</si>
  <si>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</si>
  <si>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</si>
  <si>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</si>
  <si>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</si>
  <si>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</si>
  <si>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</si>
  <si>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</si>
  <si>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</si>
  <si>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</si>
  <si>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</si>
  <si>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</si>
  <si>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</si>
  <si>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</si>
  <si>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</si>
  <si>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</si>
  <si>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</si>
  <si>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</si>
  <si>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</si>
  <si>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</si>
  <si>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</si>
  <si>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</si>
  <si>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</si>
  <si>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</si>
  <si>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</si>
  <si>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</si>
  <si>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</si>
  <si>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</si>
  <si>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</si>
  <si>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</si>
  <si>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</si>
  <si>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</si>
  <si>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</si>
  <si>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</si>
  <si>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</si>
  <si>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</si>
  <si>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</si>
  <si>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</si>
  <si>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</si>
  <si>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</si>
  <si>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</si>
  <si>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</si>
  <si>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</si>
  <si>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</si>
  <si>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</si>
  <si>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</si>
  <si>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</si>
  <si>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</si>
  <si>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</si>
  <si>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</si>
  <si>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</si>
  <si>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</si>
  <si>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</si>
  <si>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</si>
  <si>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</si>
  <si>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</si>
  <si>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</si>
  <si>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</si>
  <si>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</si>
  <si>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</si>
  <si>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</si>
  <si>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</si>
  <si>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</si>
  <si>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</si>
  <si>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</si>
  <si>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</si>
  <si>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</si>
  <si>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</si>
  <si>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</si>
  <si>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</si>
  <si>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</si>
  <si>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</si>
  <si>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</si>
  <si>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</si>
  <si>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</si>
  <si>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</si>
  <si>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</si>
  <si>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</si>
  <si>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</si>
  <si>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</si>
  <si>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</si>
  <si>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</si>
  <si>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</si>
  <si>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</si>
  <si>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</si>
  <si>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</si>
  <si>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</si>
  <si>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</si>
  <si>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</si>
  <si>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</si>
  <si>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</si>
  <si>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</si>
  <si>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</si>
  <si>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</si>
  <si>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</si>
  <si>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</si>
  <si>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</si>
  <si>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</si>
  <si>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</si>
  <si>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</si>
  <si>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</si>
  <si>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</si>
  <si>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</si>
  <si>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</si>
  <si>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</si>
  <si>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</si>
  <si>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</si>
  <si>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</si>
  <si>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</si>
  <si>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</si>
  <si>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</si>
  <si>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</si>
  <si>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</si>
  <si>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</si>
  <si>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</si>
  <si>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</si>
  <si>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</si>
  <si>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</si>
  <si>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</si>
  <si>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</si>
  <si>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</si>
  <si>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</si>
  <si>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</si>
  <si>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</si>
  <si>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</si>
  <si>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</si>
  <si>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</si>
  <si>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</si>
  <si>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</si>
  <si>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</si>
  <si>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</si>
  <si>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</si>
  <si>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</si>
  <si>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</si>
  <si>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</si>
  <si>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</si>
  <si>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</si>
  <si>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</si>
  <si>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</si>
  <si>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</si>
  <si>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</si>
  <si>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</si>
  <si>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</si>
  <si>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</si>
  <si>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</si>
  <si>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</si>
  <si>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</si>
  <si>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</si>
  <si>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</si>
  <si>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</si>
  <si>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</si>
  <si>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</si>
  <si>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</si>
  <si>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</si>
  <si>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</si>
  <si>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</si>
  <si>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</si>
  <si>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</si>
  <si>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</si>
  <si>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</si>
  <si>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</si>
  <si>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</si>
  <si>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</si>
  <si>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</si>
  <si>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</si>
  <si>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</si>
  <si>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</si>
  <si>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</si>
  <si>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</si>
  <si>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</si>
  <si>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</si>
  <si>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</si>
  <si>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</si>
  <si>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</si>
  <si>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</si>
  <si>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</si>
  <si>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</si>
  <si>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</si>
  <si>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</si>
  <si>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</si>
  <si>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</si>
  <si>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</si>
  <si>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</si>
  <si>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</si>
  <si>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</si>
  <si>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</si>
  <si>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</si>
  <si>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</si>
  <si>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</si>
  <si>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</si>
  <si>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</si>
  <si>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</si>
  <si>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</si>
  <si>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</si>
  <si>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</si>
  <si>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</si>
  <si>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</si>
  <si>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</si>
  <si>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</si>
  <si>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</si>
  <si>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</si>
  <si>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</si>
  <si>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</si>
  <si>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</si>
  <si>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</si>
  <si>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</si>
  <si>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</si>
  <si>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</si>
  <si>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</si>
  <si>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</si>
  <si>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</si>
  <si>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</si>
  <si>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</si>
  <si>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</si>
  <si>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</si>
  <si>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</si>
  <si>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</si>
  <si>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</si>
  <si>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</si>
  <si>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</si>
  <si>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</si>
  <si>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</si>
  <si>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</si>
  <si>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</si>
  <si>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</si>
  <si>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</si>
  <si>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</si>
  <si>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</si>
  <si>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</si>
  <si>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</si>
  <si>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</si>
  <si>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</si>
  <si>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</si>
  <si>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</si>
  <si>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</si>
  <si>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</si>
  <si>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</si>
  <si>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</si>
  <si>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</si>
  <si>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</si>
  <si>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</si>
  <si>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</si>
  <si>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</si>
  <si>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</si>
  <si>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</si>
  <si>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</si>
  <si>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</si>
  <si>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</si>
  <si>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</si>
  <si>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</si>
  <si>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</si>
  <si>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</si>
  <si>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</si>
  <si>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</si>
  <si>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</si>
  <si>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</si>
  <si>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</si>
  <si>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</si>
  <si>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</si>
  <si>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</si>
  <si>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</si>
  <si>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</si>
  <si>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</si>
  <si>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</si>
  <si>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</si>
  <si>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</si>
  <si>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</si>
  <si>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</si>
  <si>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</si>
  <si>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</si>
  <si>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</si>
  <si>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</si>
  <si>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</si>
  <si>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</si>
  <si>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</si>
  <si>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</si>
  <si>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</si>
  <si>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</si>
  <si>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</si>
  <si>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</si>
  <si>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</si>
  <si>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</si>
  <si>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</si>
  <si>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</si>
  <si>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</si>
  <si>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</si>
  <si>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</si>
  <si>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</si>
  <si>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</si>
  <si>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</si>
  <si>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</si>
  <si>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</si>
  <si>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</si>
  <si>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</si>
  <si>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Total</t>
  </si>
  <si>
    <t>MES_NUM</t>
  </si>
  <si>
    <t>VENTAS</t>
  </si>
  <si>
    <t>MÓDULO 9 – REGISTRO DE ANÁLISIS HUMANO + VALIDACIÓN CON IA</t>
  </si>
  <si>
    <t>Objetivo</t>
  </si>
  <si>
    <t>Documentar las conclusiones observadas y su validación tipo abogado del diablo.</t>
  </si>
  <si>
    <t>Insight 1 – evidencia</t>
  </si>
  <si>
    <t>Las ventas acumuladas de 2026 son $4,807,320, frente a $2,277,140 en 2025.</t>
  </si>
  <si>
    <t>Insight 1 – interpretación</t>
  </si>
  <si>
    <t>El período 2026 presenta un volumen acumulado superior al de 2025.</t>
  </si>
  <si>
    <t>Insight 1 – abogado del diablo</t>
  </si>
  <si>
    <t>La comparación debe considerar que los períodos pueden no tener la misma cantidad de meses observados; un acumulado mayor no prueba por sí solo un crecimiento anual definitivo.</t>
  </si>
  <si>
    <t>Insight 2 – evidencia</t>
  </si>
  <si>
    <t>Frutos Secos concentra la mayor facturación acumulada, con $3,345,860.</t>
  </si>
  <si>
    <t>Insight 2 – interpretación</t>
  </si>
  <si>
    <t>La categoría representa una concentración importante de la facturación.</t>
  </si>
  <si>
    <t>Insight 2 – abogado del diablo</t>
  </si>
  <si>
    <t>La mayor facturación puede explicarse por precios unitarios más altos; conviene contrastar ventas con cantidad y ticket.</t>
  </si>
  <si>
    <t>Insight 3 – evidencia</t>
  </si>
  <si>
    <t>Norte presenta la mayor facturación acumulada, con $3,235,890.</t>
  </si>
  <si>
    <t>Insight 3 – interpretación</t>
  </si>
  <si>
    <t>Esa región concentra la mayor parte de la facturación regional del dataset.</t>
  </si>
  <si>
    <t>Insight 3 – abogado del diablo</t>
  </si>
  <si>
    <t>La concentración puede depender de productos, clientes o cantidad de operaciones; no demuestra por sí sola una causa geográfica.</t>
  </si>
  <si>
    <t>Prompt utilizado</t>
  </si>
  <si>
    <t>Tengo un dashboard de ventas. Mis conclusiones iniciales son: 1) 2026 acumula más ventas que 2025; 2) Frutos Secos lidera la facturación; 3) Norte lidera por región. Actuá como abogado del diablo: buscá sesgos, variables omitidas y explicaciones alternativas que puedan hacer que estas conclusiones sean engañosas.</t>
  </si>
  <si>
    <t>Refinamiento aplicado</t>
  </si>
  <si>
    <t>Se agregaron filtros interactivos por Año, Categoría y Región, un gráfico de dispersión de cantidad versus ventas y una nota de análisis para evitar confundir correlación con causalidad.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</si>
</sst>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 &quot;#,##0"/>
    <numFmt numFmtId="165" formatCode="0.0%"/>
    <numFmt numFmtId="166" formatCode="m/d/yyyy"/>
  </numFmts>
  <fonts count="8" x14ac:knownFonts="1">
    <font>
      <sz val="11"/>
      <color theme="1"/>
      <name val="Aptos Narrow"/>
      <family val="2"/>
      <charset val="1"/>
    </font>
    <font>
      <b/>
      <sz val="20"/>
      <color rgb="FFFFFFFF"/>
      <name val="Aptos Narrow"/>
      <family val="2"/>
      <charset val="1"/>
    </font>
    <font>
      <i/>
      <sz val="11"/>
      <color rgb="FFFFFFFF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b/>
      <sz val="11"/>
      <color rgb="FF203864"/>
      <name val="Aptos Narrow"/>
      <family val="2"/>
      <charset val="1"/>
    </font>
    <font>
      <b/>
      <sz val="18"/>
      <color rgb="FF203864"/>
      <name val="Aptos Narrow"/>
      <family val="2"/>
      <charset val="1"/>
    </font>
    <font>
      <b/>
      <sz val="11"/>
      <name val="Aptos Narrow"/>
      <family val="2"/>
      <charset val="1"/>
    </font>
    <font>
      <sz val="11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203864"/>
      </patternFill>
    </fill>
    <fill>
      <patternFill patternType="solid">
        <fgColor rgb="FF2F75B5"/>
        <bgColor rgb="FF156082"/>
      </patternFill>
    </fill>
    <fill>
      <patternFill patternType="solid">
        <fgColor rgb="FFFFFFFF"/>
        <bgColor rgb="FFF2F2F2"/>
      </patternFill>
    </fill>
    <fill>
      <patternFill patternType="solid">
        <fgColor rgb="FFD9EAF7"/>
        <bgColor rgb="FFE2F0D9"/>
      </patternFill>
    </fill>
    <fill>
      <patternFill patternType="solid">
        <fgColor rgb="FFF2F2F2"/>
        <b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6" borderId="0" xfId="0" applyFont="1" applyFill="1" applyAlignment="1">
      <alignment horizontal="center" vertical="center"/>
    </xf>
    <xf numFmtId="0" fontId="0" fillId="5" borderId="0" xfId="0" applyFill="1" applyAlignment="1">
      <alignment vertical="top" wrapText="1"/>
    </xf>
    <xf numFmtId="0" fontId="3" fillId="2" borderId="0" xfId="0" applyFont="1" applyFill="1"/>
    <xf numFmtId="165" fontId="5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0" fillId="4" borderId="0" xfId="0" applyFill="1"/>
    <xf numFmtId="164" fontId="0" fillId="0" borderId="0" xfId="0" applyNumberFormat="1"/>
    <xf numFmtId="166" fontId="0" fillId="0" borderId="0" xfId="0" applyNumberFormat="1"/>
    <xf numFmtId="0" fontId="6" fillId="0" borderId="0" xfId="0" applyFont="1"/>
    <xf numFmtId="0" fontId="0" fillId="0" borderId="0" xfId="0" applyAlignment="1">
      <alignment vertical="top" wrapText="1"/>
    </xf>
    <xf numFmtId="0" fontId="7" fillId="0" borderId="0" xfId="0" applyFont="1"/>
    <xf numFmtId="0" fontId="0" fillId="0" borderId="0" xfId="0" applyFill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0C0C0"/>
      <rgbColor rgb="FF8B8B8B"/>
      <rgbColor rgb="FF9999FF"/>
      <rgbColor rgb="FF993366"/>
      <rgbColor rgb="FFF2F2F2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/>
              <a:t>La evolución mensual permite detectar cambios de ritmo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Final'!$C$14</c:f>
              <c:strCache>
                <c:ptCount val="1"/>
                <c:pt idx="0">
                  <c:v>Ventas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E9F-AA0E-2E3F8AB48B5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E9F-AA0E-2E3F8AB48B5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E9F-AA0E-2E3F8AB48B5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E9F-AA0E-2E3F8AB48B5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D39-4E9F-AA0E-2E3F8AB48B59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D39-4E9F-AA0E-2E3F8AB48B59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D39-4E9F-AA0E-2E3F8AB48B59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9D39-4E9F-AA0E-2E3F8AB48B59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9D39-4E9F-AA0E-2E3F8AB48B59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9D39-4E9F-AA0E-2E3F8AB48B59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49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9D39-4E9F-AA0E-2E3F8AB48B59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49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9D39-4E9F-AA0E-2E3F8AB48B59}"/>
              </c:ext>
            </c:extLst>
          </c:dPt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'Dashboard Final'!$B$15:$B$26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'Dashboard Final'!$C$15:$C$26</c:f>
              <c:numCache>
                <c:formatCode>"$ "#,##0</c:formatCode>
                <c:ptCount val="12"/>
                <c:pt idx="0">
                  <c:v>1102660</c:v>
                </c:pt>
                <c:pt idx="1">
                  <c:v>1137180</c:v>
                </c:pt>
                <c:pt idx="2">
                  <c:v>1085060</c:v>
                </c:pt>
                <c:pt idx="3">
                  <c:v>1164600</c:v>
                </c:pt>
                <c:pt idx="4">
                  <c:v>744830</c:v>
                </c:pt>
                <c:pt idx="5">
                  <c:v>631710</c:v>
                </c:pt>
                <c:pt idx="6">
                  <c:v>551570</c:v>
                </c:pt>
                <c:pt idx="7">
                  <c:v>666850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9D39-4E9F-AA0E-2E3F8AB48B5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87185965"/>
        <c:axId val="16481512"/>
      </c:lineChart>
      <c:catAx>
        <c:axId val="871859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481512"/>
        <c:crosses val="autoZero"/>
        <c:auto val="1"/>
        <c:lblAlgn val="ctr"/>
        <c:lblOffset val="100"/>
        <c:noMultiLvlLbl val="0"/>
      </c:catAx>
      <c:valAx>
        <c:axId val="16481512"/>
        <c:scaling>
          <c:orientation val="minMax"/>
        </c:scaling>
        <c:delete val="0"/>
        <c:axPos val="l"/>
        <c:numFmt formatCode="&quot;$ 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71859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AR" sz="1800" b="1" u="none" strike="noStrike">
                <a:solidFill>
                  <a:srgbClr val="000000"/>
                </a:solidFill>
                <a:uFillTx/>
                <a:latin typeface="Aptos Narrow"/>
              </a:rPr>
              <a:t>La categoría concentra la facturación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Final'!$I$14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909-487E-AB7C-F37088CD13DB}"/>
              </c:ext>
            </c:extLst>
          </c:dPt>
          <c:dPt>
            <c:idx val="1"/>
            <c:invertIfNegative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909-487E-AB7C-F37088CD13DB}"/>
              </c:ext>
            </c:extLst>
          </c:dPt>
          <c:dPt>
            <c:idx val="2"/>
            <c:invertIfNegative val="1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909-487E-AB7C-F37088CD13D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s-A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909-487E-AB7C-F37088CD13D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s-A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909-487E-AB7C-F37088CD13D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  <a:endParaRPr lang="es-A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909-487E-AB7C-F37088CD13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Final'!$H$15:$H$17</c:f>
              <c:strCache>
                <c:ptCount val="3"/>
                <c:pt idx="0">
                  <c:v>Cereales</c:v>
                </c:pt>
                <c:pt idx="1">
                  <c:v>Frutas Deshidratadas</c:v>
                </c:pt>
                <c:pt idx="2">
                  <c:v>Frutos Secos</c:v>
                </c:pt>
              </c:strCache>
            </c:strRef>
          </c:cat>
          <c:val>
            <c:numRef>
              <c:f>'Dashboard Final'!$I$15:$I$17</c:f>
              <c:numCache>
                <c:formatCode>"$ "#,##0</c:formatCode>
                <c:ptCount val="3"/>
                <c:pt idx="0">
                  <c:v>2024550</c:v>
                </c:pt>
                <c:pt idx="1">
                  <c:v>1714050</c:v>
                </c:pt>
                <c:pt idx="2">
                  <c:v>3345860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09-487E-AB7C-F37088CD1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620816"/>
        <c:axId val="1957311"/>
      </c:barChart>
      <c:catAx>
        <c:axId val="88620816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AR" sz="1000" b="1" u="none" strike="noStrike">
                    <a:solidFill>
                      <a:srgbClr val="000000"/>
                    </a:solidFill>
                    <a:uFillTx/>
                    <a:latin typeface="Aptos Narrow"/>
                  </a:rPr>
                  <a:t>Ventas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1957311"/>
        <c:crosses val="autoZero"/>
        <c:auto val="1"/>
        <c:lblAlgn val="ctr"/>
        <c:lblOffset val="100"/>
        <c:noMultiLvlLbl val="0"/>
      </c:catAx>
      <c:valAx>
        <c:axId val="1957311"/>
        <c:scaling>
          <c:orientation val="minMax"/>
        </c:scaling>
        <c:delete val="1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&quot;$ &quot;#,##0" sourceLinked="1"/>
        <c:majorTickMark val="none"/>
        <c:minorTickMark val="none"/>
        <c:tickLblPos val="nextTo"/>
        <c:crossAx val="886208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Dispersión: cantidad vs. ventas por operación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Operaciones</c:v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F8-4CC8-A9CF-32272F0B34AB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F8-4CC8-A9CF-32272F0B34AB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8F8-4CC8-A9CF-32272F0B34AB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F8-4CC8-A9CF-32272F0B34A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8F8-4CC8-A9CF-32272F0B34AB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8F8-4CC8-A9CF-32272F0B34AB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48F8-4CC8-A9CF-32272F0B34AB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48F8-4CC8-A9CF-32272F0B34AB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48F8-4CC8-A9CF-32272F0B34AB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48F8-4CC8-A9CF-32272F0B34AB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48F8-4CC8-A9CF-32272F0B34A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48F8-4CC8-A9CF-32272F0B34AB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48F8-4CC8-A9CF-32272F0B34AB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48F8-4CC8-A9CF-32272F0B34AB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48F8-4CC8-A9CF-32272F0B34AB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48F8-4CC8-A9CF-32272F0B34AB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48F8-4CC8-A9CF-32272F0B34AB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48F8-4CC8-A9CF-32272F0B34AB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48F8-4CC8-A9CF-32272F0B34AB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48F8-4CC8-A9CF-32272F0B34AB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48F8-4CC8-A9CF-32272F0B34AB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48F8-4CC8-A9CF-32272F0B34AB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48F8-4CC8-A9CF-32272F0B34AB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48F8-4CC8-A9CF-32272F0B34AB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48F8-4CC8-A9CF-32272F0B34AB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48F8-4CC8-A9CF-32272F0B34AB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48F8-4CC8-A9CF-32272F0B34AB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48F8-4CC8-A9CF-32272F0B34AB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48F8-4CC8-A9CF-32272F0B34AB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48F8-4CC8-A9CF-32272F0B34AB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48F8-4CC8-A9CF-32272F0B34AB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48F8-4CC8-A9CF-32272F0B34AB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48F8-4CC8-A9CF-32272F0B34AB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48F8-4CC8-A9CF-32272F0B34AB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48F8-4CC8-A9CF-32272F0B34AB}"/>
              </c:ext>
            </c:extLst>
          </c:dPt>
          <c:dPt>
            <c:idx val="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48F8-4CC8-A9CF-32272F0B34AB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48F8-4CC8-A9CF-32272F0B34AB}"/>
              </c:ext>
            </c:extLst>
          </c:dPt>
          <c:dPt>
            <c:idx val="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48F8-4CC8-A9CF-32272F0B34AB}"/>
              </c:ext>
            </c:extLst>
          </c:dPt>
          <c:dPt>
            <c:idx val="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48F8-4CC8-A9CF-32272F0B34AB}"/>
              </c:ext>
            </c:extLst>
          </c:dPt>
          <c:dPt>
            <c:idx val="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48F8-4CC8-A9CF-32272F0B34AB}"/>
              </c:ext>
            </c:extLst>
          </c:dPt>
          <c:dPt>
            <c:idx val="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48F8-4CC8-A9CF-32272F0B34AB}"/>
              </c:ext>
            </c:extLst>
          </c:dPt>
          <c:dPt>
            <c:idx val="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48F8-4CC8-A9CF-32272F0B34AB}"/>
              </c:ext>
            </c:extLst>
          </c:dPt>
          <c:dPt>
            <c:idx val="4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48F8-4CC8-A9CF-32272F0B34AB}"/>
              </c:ext>
            </c:extLst>
          </c:dPt>
          <c:dPt>
            <c:idx val="4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7-48F8-4CC8-A9CF-32272F0B34AB}"/>
              </c:ext>
            </c:extLst>
          </c:dPt>
          <c:dPt>
            <c:idx val="4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9-48F8-4CC8-A9CF-32272F0B34AB}"/>
              </c:ext>
            </c:extLst>
          </c:dPt>
          <c:dPt>
            <c:idx val="4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B-48F8-4CC8-A9CF-32272F0B34AB}"/>
              </c:ext>
            </c:extLst>
          </c:dPt>
          <c:dPt>
            <c:idx val="4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D-48F8-4CC8-A9CF-32272F0B34AB}"/>
              </c:ext>
            </c:extLst>
          </c:dPt>
          <c:dPt>
            <c:idx val="4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48F8-4CC8-A9CF-32272F0B34AB}"/>
              </c:ext>
            </c:extLst>
          </c:dPt>
          <c:dPt>
            <c:idx val="4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1-48F8-4CC8-A9CF-32272F0B34AB}"/>
              </c:ext>
            </c:extLst>
          </c:dPt>
          <c:dPt>
            <c:idx val="4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48F8-4CC8-A9CF-32272F0B34AB}"/>
              </c:ext>
            </c:extLst>
          </c:dPt>
          <c:dPt>
            <c:idx val="5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5-48F8-4CC8-A9CF-32272F0B34AB}"/>
              </c:ext>
            </c:extLst>
          </c:dPt>
          <c:dPt>
            <c:idx val="5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7-48F8-4CC8-A9CF-32272F0B34AB}"/>
              </c:ext>
            </c:extLst>
          </c:dPt>
          <c:dPt>
            <c:idx val="5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9-48F8-4CC8-A9CF-32272F0B34AB}"/>
              </c:ext>
            </c:extLst>
          </c:dPt>
          <c:dPt>
            <c:idx val="5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B-48F8-4CC8-A9CF-32272F0B34AB}"/>
              </c:ext>
            </c:extLst>
          </c:dPt>
          <c:dPt>
            <c:idx val="5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D-48F8-4CC8-A9CF-32272F0B34AB}"/>
              </c:ext>
            </c:extLst>
          </c:dPt>
          <c:dPt>
            <c:idx val="5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F-48F8-4CC8-A9CF-32272F0B34AB}"/>
              </c:ext>
            </c:extLst>
          </c:dPt>
          <c:dPt>
            <c:idx val="5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1-48F8-4CC8-A9CF-32272F0B34AB}"/>
              </c:ext>
            </c:extLst>
          </c:dPt>
          <c:dPt>
            <c:idx val="5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3-48F8-4CC8-A9CF-32272F0B34AB}"/>
              </c:ext>
            </c:extLst>
          </c:dPt>
          <c:dPt>
            <c:idx val="5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5-48F8-4CC8-A9CF-32272F0B34AB}"/>
              </c:ext>
            </c:extLst>
          </c:dPt>
          <c:dPt>
            <c:idx val="5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7-48F8-4CC8-A9CF-32272F0B34AB}"/>
              </c:ext>
            </c:extLst>
          </c:dPt>
          <c:dPt>
            <c:idx val="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9-48F8-4CC8-A9CF-32272F0B34AB}"/>
              </c:ext>
            </c:extLst>
          </c:dPt>
          <c:dPt>
            <c:idx val="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B-48F8-4CC8-A9CF-32272F0B34AB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D-48F8-4CC8-A9CF-32272F0B34AB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F-48F8-4CC8-A9CF-32272F0B34AB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1-48F8-4CC8-A9CF-32272F0B34AB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3-48F8-4CC8-A9CF-32272F0B34AB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5-48F8-4CC8-A9CF-32272F0B34AB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7-48F8-4CC8-A9CF-32272F0B34AB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9-48F8-4CC8-A9CF-32272F0B34AB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B-48F8-4CC8-A9CF-32272F0B34AB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D-48F8-4CC8-A9CF-32272F0B34AB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F-48F8-4CC8-A9CF-32272F0B34AB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1-48F8-4CC8-A9CF-32272F0B34AB}"/>
              </c:ext>
            </c:extLst>
          </c:dPt>
          <c:dPt>
            <c:idx val="7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3-48F8-4CC8-A9CF-32272F0B34AB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5-48F8-4CC8-A9CF-32272F0B34AB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7-48F8-4CC8-A9CF-32272F0B34AB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9-48F8-4CC8-A9CF-32272F0B34AB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B-48F8-4CC8-A9CF-32272F0B34AB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D-48F8-4CC8-A9CF-32272F0B34AB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F-48F8-4CC8-A9CF-32272F0B34AB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1-48F8-4CC8-A9CF-32272F0B34AB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3-48F8-4CC8-A9CF-32272F0B34AB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5-48F8-4CC8-A9CF-32272F0B34AB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7-48F8-4CC8-A9CF-32272F0B34AB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9-48F8-4CC8-A9CF-32272F0B34AB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B-48F8-4CC8-A9CF-32272F0B34AB}"/>
              </c:ext>
            </c:extLst>
          </c:dPt>
          <c:dPt>
            <c:idx val="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D-48F8-4CC8-A9CF-32272F0B34AB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F-48F8-4CC8-A9CF-32272F0B34AB}"/>
              </c:ext>
            </c:extLst>
          </c:dPt>
          <c:dPt>
            <c:idx val="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1-48F8-4CC8-A9CF-32272F0B34AB}"/>
              </c:ext>
            </c:extLst>
          </c:dPt>
          <c:dPt>
            <c:idx val="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3-48F8-4CC8-A9CF-32272F0B34AB}"/>
              </c:ext>
            </c:extLst>
          </c:dPt>
          <c:dPt>
            <c:idx val="9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5-48F8-4CC8-A9CF-32272F0B34AB}"/>
              </c:ext>
            </c:extLst>
          </c:dPt>
          <c:dPt>
            <c:idx val="9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7-48F8-4CC8-A9CF-32272F0B34AB}"/>
              </c:ext>
            </c:extLst>
          </c:dPt>
          <c:dPt>
            <c:idx val="9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9-48F8-4CC8-A9CF-32272F0B34AB}"/>
              </c:ext>
            </c:extLst>
          </c:dPt>
          <c:dPt>
            <c:idx val="9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B-48F8-4CC8-A9CF-32272F0B34AB}"/>
              </c:ext>
            </c:extLst>
          </c:dPt>
          <c:dPt>
            <c:idx val="9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D-48F8-4CC8-A9CF-32272F0B34AB}"/>
              </c:ext>
            </c:extLst>
          </c:dPt>
          <c:dPt>
            <c:idx val="9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F-48F8-4CC8-A9CF-32272F0B34AB}"/>
              </c:ext>
            </c:extLst>
          </c:dPt>
          <c:dPt>
            <c:idx val="9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1-48F8-4CC8-A9CF-32272F0B34AB}"/>
              </c:ext>
            </c:extLst>
          </c:dPt>
          <c:dPt>
            <c:idx val="9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3-48F8-4CC8-A9CF-32272F0B34AB}"/>
              </c:ext>
            </c:extLst>
          </c:dPt>
          <c:dPt>
            <c:idx val="9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5-48F8-4CC8-A9CF-32272F0B34AB}"/>
              </c:ext>
            </c:extLst>
          </c:dPt>
          <c:dPt>
            <c:idx val="9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7-48F8-4CC8-A9CF-32272F0B34AB}"/>
              </c:ext>
            </c:extLst>
          </c:dPt>
          <c:dPt>
            <c:idx val="10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9-48F8-4CC8-A9CF-32272F0B34AB}"/>
              </c:ext>
            </c:extLst>
          </c:dPt>
          <c:dPt>
            <c:idx val="10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B-48F8-4CC8-A9CF-32272F0B34AB}"/>
              </c:ext>
            </c:extLst>
          </c:dPt>
          <c:dPt>
            <c:idx val="10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D-48F8-4CC8-A9CF-32272F0B34AB}"/>
              </c:ext>
            </c:extLst>
          </c:dPt>
          <c:dPt>
            <c:idx val="10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F-48F8-4CC8-A9CF-32272F0B34AB}"/>
              </c:ext>
            </c:extLst>
          </c:dPt>
          <c:dPt>
            <c:idx val="10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1-48F8-4CC8-A9CF-32272F0B34AB}"/>
              </c:ext>
            </c:extLst>
          </c:dPt>
          <c:dPt>
            <c:idx val="10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3-48F8-4CC8-A9CF-32272F0B34AB}"/>
              </c:ext>
            </c:extLst>
          </c:dPt>
          <c:dPt>
            <c:idx val="10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5-48F8-4CC8-A9CF-32272F0B34AB}"/>
              </c:ext>
            </c:extLst>
          </c:dPt>
          <c:dPt>
            <c:idx val="10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7-48F8-4CC8-A9CF-32272F0B34AB}"/>
              </c:ext>
            </c:extLst>
          </c:dPt>
          <c:dPt>
            <c:idx val="10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9-48F8-4CC8-A9CF-32272F0B34AB}"/>
              </c:ext>
            </c:extLst>
          </c:dPt>
          <c:dPt>
            <c:idx val="10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B-48F8-4CC8-A9CF-32272F0B34AB}"/>
              </c:ext>
            </c:extLst>
          </c:dPt>
          <c:dPt>
            <c:idx val="11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D-48F8-4CC8-A9CF-32272F0B34AB}"/>
              </c:ext>
            </c:extLst>
          </c:dPt>
          <c:dPt>
            <c:idx val="11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F-48F8-4CC8-A9CF-32272F0B34AB}"/>
              </c:ext>
            </c:extLst>
          </c:dPt>
          <c:dPt>
            <c:idx val="11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1-48F8-4CC8-A9CF-32272F0B34AB}"/>
              </c:ext>
            </c:extLst>
          </c:dPt>
          <c:dPt>
            <c:idx val="11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3-48F8-4CC8-A9CF-32272F0B34AB}"/>
              </c:ext>
            </c:extLst>
          </c:dPt>
          <c:dPt>
            <c:idx val="1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5-48F8-4CC8-A9CF-32272F0B34AB}"/>
              </c:ext>
            </c:extLst>
          </c:dPt>
          <c:dPt>
            <c:idx val="1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7-48F8-4CC8-A9CF-32272F0B34AB}"/>
              </c:ext>
            </c:extLst>
          </c:dPt>
          <c:dPt>
            <c:idx val="1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9-48F8-4CC8-A9CF-32272F0B34AB}"/>
              </c:ext>
            </c:extLst>
          </c:dPt>
          <c:dPt>
            <c:idx val="1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B-48F8-4CC8-A9CF-32272F0B34AB}"/>
              </c:ext>
            </c:extLst>
          </c:dPt>
          <c:dPt>
            <c:idx val="1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D-48F8-4CC8-A9CF-32272F0B34AB}"/>
              </c:ext>
            </c:extLst>
          </c:dPt>
          <c:dPt>
            <c:idx val="1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F-48F8-4CC8-A9CF-32272F0B34AB}"/>
              </c:ext>
            </c:extLst>
          </c:dPt>
          <c:dPt>
            <c:idx val="12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1-48F8-4CC8-A9CF-32272F0B34AB}"/>
              </c:ext>
            </c:extLst>
          </c:dPt>
          <c:dPt>
            <c:idx val="12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3-48F8-4CC8-A9CF-32272F0B34AB}"/>
              </c:ext>
            </c:extLst>
          </c:dPt>
          <c:dPt>
            <c:idx val="12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5-48F8-4CC8-A9CF-32272F0B34AB}"/>
              </c:ext>
            </c:extLst>
          </c:dPt>
          <c:dPt>
            <c:idx val="12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7-48F8-4CC8-A9CF-32272F0B34AB}"/>
              </c:ext>
            </c:extLst>
          </c:dPt>
          <c:dPt>
            <c:idx val="12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9-48F8-4CC8-A9CF-32272F0B34AB}"/>
              </c:ext>
            </c:extLst>
          </c:dPt>
          <c:dPt>
            <c:idx val="12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B-48F8-4CC8-A9CF-32272F0B34AB}"/>
              </c:ext>
            </c:extLst>
          </c:dPt>
          <c:dPt>
            <c:idx val="12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D-48F8-4CC8-A9CF-32272F0B34AB}"/>
              </c:ext>
            </c:extLst>
          </c:dPt>
          <c:dPt>
            <c:idx val="12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FF-48F8-4CC8-A9CF-32272F0B34AB}"/>
              </c:ext>
            </c:extLst>
          </c:dPt>
          <c:dPt>
            <c:idx val="12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1-48F8-4CC8-A9CF-32272F0B34AB}"/>
              </c:ext>
            </c:extLst>
          </c:dPt>
          <c:dPt>
            <c:idx val="12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3-48F8-4CC8-A9CF-32272F0B34AB}"/>
              </c:ext>
            </c:extLst>
          </c:dPt>
          <c:dPt>
            <c:idx val="13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5-48F8-4CC8-A9CF-32272F0B34AB}"/>
              </c:ext>
            </c:extLst>
          </c:dPt>
          <c:dPt>
            <c:idx val="13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7-48F8-4CC8-A9CF-32272F0B34AB}"/>
              </c:ext>
            </c:extLst>
          </c:dPt>
          <c:dPt>
            <c:idx val="13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9-48F8-4CC8-A9CF-32272F0B34AB}"/>
              </c:ext>
            </c:extLst>
          </c:dPt>
          <c:dPt>
            <c:idx val="13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B-48F8-4CC8-A9CF-32272F0B34AB}"/>
              </c:ext>
            </c:extLst>
          </c:dPt>
          <c:dPt>
            <c:idx val="13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D-48F8-4CC8-A9CF-32272F0B34AB}"/>
              </c:ext>
            </c:extLst>
          </c:dPt>
          <c:dPt>
            <c:idx val="13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0F-48F8-4CC8-A9CF-32272F0B34AB}"/>
              </c:ext>
            </c:extLst>
          </c:dPt>
          <c:dPt>
            <c:idx val="13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1-48F8-4CC8-A9CF-32272F0B34AB}"/>
              </c:ext>
            </c:extLst>
          </c:dPt>
          <c:dPt>
            <c:idx val="13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3-48F8-4CC8-A9CF-32272F0B34AB}"/>
              </c:ext>
            </c:extLst>
          </c:dPt>
          <c:dPt>
            <c:idx val="1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5-48F8-4CC8-A9CF-32272F0B34AB}"/>
              </c:ext>
            </c:extLst>
          </c:dPt>
          <c:dPt>
            <c:idx val="1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7-48F8-4CC8-A9CF-32272F0B34AB}"/>
              </c:ext>
            </c:extLst>
          </c:dPt>
          <c:dPt>
            <c:idx val="1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9-48F8-4CC8-A9CF-32272F0B34AB}"/>
              </c:ext>
            </c:extLst>
          </c:dPt>
          <c:dPt>
            <c:idx val="14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B-48F8-4CC8-A9CF-32272F0B34AB}"/>
              </c:ext>
            </c:extLst>
          </c:dPt>
          <c:dPt>
            <c:idx val="14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D-48F8-4CC8-A9CF-32272F0B34AB}"/>
              </c:ext>
            </c:extLst>
          </c:dPt>
          <c:dPt>
            <c:idx val="14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1F-48F8-4CC8-A9CF-32272F0B34AB}"/>
              </c:ext>
            </c:extLst>
          </c:dPt>
          <c:dPt>
            <c:idx val="14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1-48F8-4CC8-A9CF-32272F0B34AB}"/>
              </c:ext>
            </c:extLst>
          </c:dPt>
          <c:dPt>
            <c:idx val="14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3-48F8-4CC8-A9CF-32272F0B34AB}"/>
              </c:ext>
            </c:extLst>
          </c:dPt>
          <c:dPt>
            <c:idx val="14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5-48F8-4CC8-A9CF-32272F0B34AB}"/>
              </c:ext>
            </c:extLst>
          </c:dPt>
          <c:dPt>
            <c:idx val="14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7-48F8-4CC8-A9CF-32272F0B34AB}"/>
              </c:ext>
            </c:extLst>
          </c:dPt>
          <c:dPt>
            <c:idx val="14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9-48F8-4CC8-A9CF-32272F0B34AB}"/>
              </c:ext>
            </c:extLst>
          </c:dPt>
          <c:dPt>
            <c:idx val="14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B-48F8-4CC8-A9CF-32272F0B34AB}"/>
              </c:ext>
            </c:extLst>
          </c:dPt>
          <c:dPt>
            <c:idx val="15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D-48F8-4CC8-A9CF-32272F0B34AB}"/>
              </c:ext>
            </c:extLst>
          </c:dPt>
          <c:dPt>
            <c:idx val="15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2F-48F8-4CC8-A9CF-32272F0B34AB}"/>
              </c:ext>
            </c:extLst>
          </c:dPt>
          <c:dPt>
            <c:idx val="15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1-48F8-4CC8-A9CF-32272F0B34AB}"/>
              </c:ext>
            </c:extLst>
          </c:dPt>
          <c:dPt>
            <c:idx val="15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3-48F8-4CC8-A9CF-32272F0B34AB}"/>
              </c:ext>
            </c:extLst>
          </c:dPt>
          <c:dPt>
            <c:idx val="15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5-48F8-4CC8-A9CF-32272F0B34AB}"/>
              </c:ext>
            </c:extLst>
          </c:dPt>
          <c:dPt>
            <c:idx val="15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7-48F8-4CC8-A9CF-32272F0B34AB}"/>
              </c:ext>
            </c:extLst>
          </c:dPt>
          <c:dPt>
            <c:idx val="15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9-48F8-4CC8-A9CF-32272F0B34AB}"/>
              </c:ext>
            </c:extLst>
          </c:dPt>
          <c:dPt>
            <c:idx val="15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B-48F8-4CC8-A9CF-32272F0B34AB}"/>
              </c:ext>
            </c:extLst>
          </c:dPt>
          <c:dPt>
            <c:idx val="15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D-48F8-4CC8-A9CF-32272F0B34AB}"/>
              </c:ext>
            </c:extLst>
          </c:dPt>
          <c:dPt>
            <c:idx val="15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3F-48F8-4CC8-A9CF-32272F0B34AB}"/>
              </c:ext>
            </c:extLst>
          </c:dPt>
          <c:dPt>
            <c:idx val="16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1-48F8-4CC8-A9CF-32272F0B34AB}"/>
              </c:ext>
            </c:extLst>
          </c:dPt>
          <c:dPt>
            <c:idx val="16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3-48F8-4CC8-A9CF-32272F0B34AB}"/>
              </c:ext>
            </c:extLst>
          </c:dPt>
          <c:dPt>
            <c:idx val="16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5-48F8-4CC8-A9CF-32272F0B34AB}"/>
              </c:ext>
            </c:extLst>
          </c:dPt>
          <c:dPt>
            <c:idx val="16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7-48F8-4CC8-A9CF-32272F0B34AB}"/>
              </c:ext>
            </c:extLst>
          </c:dPt>
          <c:dPt>
            <c:idx val="16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9-48F8-4CC8-A9CF-32272F0B34AB}"/>
              </c:ext>
            </c:extLst>
          </c:dPt>
          <c:dPt>
            <c:idx val="16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B-48F8-4CC8-A9CF-32272F0B34AB}"/>
              </c:ext>
            </c:extLst>
          </c:dPt>
          <c:dPt>
            <c:idx val="16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D-48F8-4CC8-A9CF-32272F0B34AB}"/>
              </c:ext>
            </c:extLst>
          </c:dPt>
          <c:dPt>
            <c:idx val="16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4F-48F8-4CC8-A9CF-32272F0B34AB}"/>
              </c:ext>
            </c:extLst>
          </c:dPt>
          <c:dPt>
            <c:idx val="16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1-48F8-4CC8-A9CF-32272F0B34AB}"/>
              </c:ext>
            </c:extLst>
          </c:dPt>
          <c:dPt>
            <c:idx val="16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3-48F8-4CC8-A9CF-32272F0B34AB}"/>
              </c:ext>
            </c:extLst>
          </c:dPt>
          <c:dPt>
            <c:idx val="17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5-48F8-4CC8-A9CF-32272F0B34AB}"/>
              </c:ext>
            </c:extLst>
          </c:dPt>
          <c:dPt>
            <c:idx val="17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7-48F8-4CC8-A9CF-32272F0B34AB}"/>
              </c:ext>
            </c:extLst>
          </c:dPt>
          <c:dPt>
            <c:idx val="17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9-48F8-4CC8-A9CF-32272F0B34AB}"/>
              </c:ext>
            </c:extLst>
          </c:dPt>
          <c:dPt>
            <c:idx val="17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B-48F8-4CC8-A9CF-32272F0B34AB}"/>
              </c:ext>
            </c:extLst>
          </c:dPt>
          <c:dPt>
            <c:idx val="17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D-48F8-4CC8-A9CF-32272F0B34AB}"/>
              </c:ext>
            </c:extLst>
          </c:dPt>
          <c:dPt>
            <c:idx val="17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5F-48F8-4CC8-A9CF-32272F0B34AB}"/>
              </c:ext>
            </c:extLst>
          </c:dPt>
          <c:dPt>
            <c:idx val="17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1-48F8-4CC8-A9CF-32272F0B34AB}"/>
              </c:ext>
            </c:extLst>
          </c:dPt>
          <c:dPt>
            <c:idx val="17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3-48F8-4CC8-A9CF-32272F0B34AB}"/>
              </c:ext>
            </c:extLst>
          </c:dPt>
          <c:dPt>
            <c:idx val="17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5-48F8-4CC8-A9CF-32272F0B34AB}"/>
              </c:ext>
            </c:extLst>
          </c:dPt>
          <c:dPt>
            <c:idx val="17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7-48F8-4CC8-A9CF-32272F0B34AB}"/>
              </c:ext>
            </c:extLst>
          </c:dPt>
          <c:dPt>
            <c:idx val="18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9-48F8-4CC8-A9CF-32272F0B34AB}"/>
              </c:ext>
            </c:extLst>
          </c:dPt>
          <c:dPt>
            <c:idx val="18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B-48F8-4CC8-A9CF-32272F0B34AB}"/>
              </c:ext>
            </c:extLst>
          </c:dPt>
          <c:dPt>
            <c:idx val="18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D-48F8-4CC8-A9CF-32272F0B34AB}"/>
              </c:ext>
            </c:extLst>
          </c:dPt>
          <c:dPt>
            <c:idx val="18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6F-48F8-4CC8-A9CF-32272F0B34AB}"/>
              </c:ext>
            </c:extLst>
          </c:dPt>
          <c:dPt>
            <c:idx val="18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1-48F8-4CC8-A9CF-32272F0B34AB}"/>
              </c:ext>
            </c:extLst>
          </c:dPt>
          <c:dPt>
            <c:idx val="18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3-48F8-4CC8-A9CF-32272F0B34AB}"/>
              </c:ext>
            </c:extLst>
          </c:dPt>
          <c:dPt>
            <c:idx val="18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5-48F8-4CC8-A9CF-32272F0B34AB}"/>
              </c:ext>
            </c:extLst>
          </c:dPt>
          <c:dPt>
            <c:idx val="18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7-48F8-4CC8-A9CF-32272F0B34AB}"/>
              </c:ext>
            </c:extLst>
          </c:dPt>
          <c:dPt>
            <c:idx val="18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9-48F8-4CC8-A9CF-32272F0B34AB}"/>
              </c:ext>
            </c:extLst>
          </c:dPt>
          <c:dPt>
            <c:idx val="18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B-48F8-4CC8-A9CF-32272F0B34AB}"/>
              </c:ext>
            </c:extLst>
          </c:dPt>
          <c:dPt>
            <c:idx val="19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D-48F8-4CC8-A9CF-32272F0B34AB}"/>
              </c:ext>
            </c:extLst>
          </c:dPt>
          <c:dPt>
            <c:idx val="19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7F-48F8-4CC8-A9CF-32272F0B34AB}"/>
              </c:ext>
            </c:extLst>
          </c:dPt>
          <c:dPt>
            <c:idx val="19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1-48F8-4CC8-A9CF-32272F0B34AB}"/>
              </c:ext>
            </c:extLst>
          </c:dPt>
          <c:dPt>
            <c:idx val="19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3-48F8-4CC8-A9CF-32272F0B34AB}"/>
              </c:ext>
            </c:extLst>
          </c:dPt>
          <c:dPt>
            <c:idx val="19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5-48F8-4CC8-A9CF-32272F0B34AB}"/>
              </c:ext>
            </c:extLst>
          </c:dPt>
          <c:dPt>
            <c:idx val="19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7-48F8-4CC8-A9CF-32272F0B34AB}"/>
              </c:ext>
            </c:extLst>
          </c:dPt>
          <c:dPt>
            <c:idx val="19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9-48F8-4CC8-A9CF-32272F0B34AB}"/>
              </c:ext>
            </c:extLst>
          </c:dPt>
          <c:dPt>
            <c:idx val="19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B-48F8-4CC8-A9CF-32272F0B34AB}"/>
              </c:ext>
            </c:extLst>
          </c:dPt>
          <c:dPt>
            <c:idx val="19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D-48F8-4CC8-A9CF-32272F0B34AB}"/>
              </c:ext>
            </c:extLst>
          </c:dPt>
          <c:dPt>
            <c:idx val="19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8F-48F8-4CC8-A9CF-32272F0B34AB}"/>
              </c:ext>
            </c:extLst>
          </c:dPt>
          <c:dPt>
            <c:idx val="20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1-48F8-4CC8-A9CF-32272F0B34AB}"/>
              </c:ext>
            </c:extLst>
          </c:dPt>
          <c:dPt>
            <c:idx val="20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3-48F8-4CC8-A9CF-32272F0B34AB}"/>
              </c:ext>
            </c:extLst>
          </c:dPt>
          <c:dPt>
            <c:idx val="20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5-48F8-4CC8-A9CF-32272F0B34AB}"/>
              </c:ext>
            </c:extLst>
          </c:dPt>
          <c:dPt>
            <c:idx val="20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7-48F8-4CC8-A9CF-32272F0B34AB}"/>
              </c:ext>
            </c:extLst>
          </c:dPt>
          <c:dPt>
            <c:idx val="20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9-48F8-4CC8-A9CF-32272F0B34AB}"/>
              </c:ext>
            </c:extLst>
          </c:dPt>
          <c:dPt>
            <c:idx val="20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B-48F8-4CC8-A9CF-32272F0B34AB}"/>
              </c:ext>
            </c:extLst>
          </c:dPt>
          <c:dPt>
            <c:idx val="20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D-48F8-4CC8-A9CF-32272F0B34AB}"/>
              </c:ext>
            </c:extLst>
          </c:dPt>
          <c:dPt>
            <c:idx val="20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9F-48F8-4CC8-A9CF-32272F0B34AB}"/>
              </c:ext>
            </c:extLst>
          </c:dPt>
          <c:dPt>
            <c:idx val="20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1-48F8-4CC8-A9CF-32272F0B34AB}"/>
              </c:ext>
            </c:extLst>
          </c:dPt>
          <c:dPt>
            <c:idx val="20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3-48F8-4CC8-A9CF-32272F0B34AB}"/>
              </c:ext>
            </c:extLst>
          </c:dPt>
          <c:dPt>
            <c:idx val="21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5-48F8-4CC8-A9CF-32272F0B34AB}"/>
              </c:ext>
            </c:extLst>
          </c:dPt>
          <c:dPt>
            <c:idx val="21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7-48F8-4CC8-A9CF-32272F0B34AB}"/>
              </c:ext>
            </c:extLst>
          </c:dPt>
          <c:dPt>
            <c:idx val="21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9-48F8-4CC8-A9CF-32272F0B34AB}"/>
              </c:ext>
            </c:extLst>
          </c:dPt>
          <c:dPt>
            <c:idx val="21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B-48F8-4CC8-A9CF-32272F0B34AB}"/>
              </c:ext>
            </c:extLst>
          </c:dPt>
          <c:dPt>
            <c:idx val="21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D-48F8-4CC8-A9CF-32272F0B34AB}"/>
              </c:ext>
            </c:extLst>
          </c:dPt>
          <c:dPt>
            <c:idx val="21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AF-48F8-4CC8-A9CF-32272F0B34AB}"/>
              </c:ext>
            </c:extLst>
          </c:dPt>
          <c:dPt>
            <c:idx val="21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1-48F8-4CC8-A9CF-32272F0B34AB}"/>
              </c:ext>
            </c:extLst>
          </c:dPt>
          <c:dPt>
            <c:idx val="21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3-48F8-4CC8-A9CF-32272F0B34AB}"/>
              </c:ext>
            </c:extLst>
          </c:dPt>
          <c:dPt>
            <c:idx val="21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5-48F8-4CC8-A9CF-32272F0B34AB}"/>
              </c:ext>
            </c:extLst>
          </c:dPt>
          <c:dPt>
            <c:idx val="21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7-48F8-4CC8-A9CF-32272F0B34AB}"/>
              </c:ext>
            </c:extLst>
          </c:dPt>
          <c:dPt>
            <c:idx val="22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9-48F8-4CC8-A9CF-32272F0B34AB}"/>
              </c:ext>
            </c:extLst>
          </c:dPt>
          <c:dPt>
            <c:idx val="22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B-48F8-4CC8-A9CF-32272F0B34AB}"/>
              </c:ext>
            </c:extLst>
          </c:dPt>
          <c:dPt>
            <c:idx val="22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D-48F8-4CC8-A9CF-32272F0B34AB}"/>
              </c:ext>
            </c:extLst>
          </c:dPt>
          <c:dPt>
            <c:idx val="22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BF-48F8-4CC8-A9CF-32272F0B34AB}"/>
              </c:ext>
            </c:extLst>
          </c:dPt>
          <c:dPt>
            <c:idx val="22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1-48F8-4CC8-A9CF-32272F0B34AB}"/>
              </c:ext>
            </c:extLst>
          </c:dPt>
          <c:dPt>
            <c:idx val="22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3-48F8-4CC8-A9CF-32272F0B34AB}"/>
              </c:ext>
            </c:extLst>
          </c:dPt>
          <c:dPt>
            <c:idx val="22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5-48F8-4CC8-A9CF-32272F0B34AB}"/>
              </c:ext>
            </c:extLst>
          </c:dPt>
          <c:dPt>
            <c:idx val="22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7-48F8-4CC8-A9CF-32272F0B34AB}"/>
              </c:ext>
            </c:extLst>
          </c:dPt>
          <c:dPt>
            <c:idx val="22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9-48F8-4CC8-A9CF-32272F0B34AB}"/>
              </c:ext>
            </c:extLst>
          </c:dPt>
          <c:dPt>
            <c:idx val="22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B-48F8-4CC8-A9CF-32272F0B34AB}"/>
              </c:ext>
            </c:extLst>
          </c:dPt>
          <c:dPt>
            <c:idx val="23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D-48F8-4CC8-A9CF-32272F0B34AB}"/>
              </c:ext>
            </c:extLst>
          </c:dPt>
          <c:dPt>
            <c:idx val="23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CF-48F8-4CC8-A9CF-32272F0B34AB}"/>
              </c:ext>
            </c:extLst>
          </c:dPt>
          <c:dPt>
            <c:idx val="23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1-48F8-4CC8-A9CF-32272F0B34AB}"/>
              </c:ext>
            </c:extLst>
          </c:dPt>
          <c:dPt>
            <c:idx val="23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3-48F8-4CC8-A9CF-32272F0B34AB}"/>
              </c:ext>
            </c:extLst>
          </c:dPt>
          <c:dPt>
            <c:idx val="23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5-48F8-4CC8-A9CF-32272F0B34AB}"/>
              </c:ext>
            </c:extLst>
          </c:dPt>
          <c:dPt>
            <c:idx val="23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7-48F8-4CC8-A9CF-32272F0B34AB}"/>
              </c:ext>
            </c:extLst>
          </c:dPt>
          <c:dPt>
            <c:idx val="23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9-48F8-4CC8-A9CF-32272F0B34AB}"/>
              </c:ext>
            </c:extLst>
          </c:dPt>
          <c:dPt>
            <c:idx val="23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B-48F8-4CC8-A9CF-32272F0B34AB}"/>
              </c:ext>
            </c:extLst>
          </c:dPt>
          <c:dPt>
            <c:idx val="23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D-48F8-4CC8-A9CF-32272F0B34AB}"/>
              </c:ext>
            </c:extLst>
          </c:dPt>
          <c:dPt>
            <c:idx val="23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DF-48F8-4CC8-A9CF-32272F0B34AB}"/>
              </c:ext>
            </c:extLst>
          </c:dPt>
          <c:dPt>
            <c:idx val="24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1-48F8-4CC8-A9CF-32272F0B34AB}"/>
              </c:ext>
            </c:extLst>
          </c:dPt>
          <c:dPt>
            <c:idx val="24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3-48F8-4CC8-A9CF-32272F0B34AB}"/>
              </c:ext>
            </c:extLst>
          </c:dPt>
          <c:dPt>
            <c:idx val="24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5-48F8-4CC8-A9CF-32272F0B34AB}"/>
              </c:ext>
            </c:extLst>
          </c:dPt>
          <c:dPt>
            <c:idx val="24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7-48F8-4CC8-A9CF-32272F0B34AB}"/>
              </c:ext>
            </c:extLst>
          </c:dPt>
          <c:dPt>
            <c:idx val="24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9-48F8-4CC8-A9CF-32272F0B34AB}"/>
              </c:ext>
            </c:extLst>
          </c:dPt>
          <c:dPt>
            <c:idx val="24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B-48F8-4CC8-A9CF-32272F0B34AB}"/>
              </c:ext>
            </c:extLst>
          </c:dPt>
          <c:dPt>
            <c:idx val="24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D-48F8-4CC8-A9CF-32272F0B34AB}"/>
              </c:ext>
            </c:extLst>
          </c:dPt>
          <c:dPt>
            <c:idx val="24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EF-48F8-4CC8-A9CF-32272F0B34AB}"/>
              </c:ext>
            </c:extLst>
          </c:dPt>
          <c:dPt>
            <c:idx val="24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1-48F8-4CC8-A9CF-32272F0B34AB}"/>
              </c:ext>
            </c:extLst>
          </c:dPt>
          <c:dPt>
            <c:idx val="24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3-48F8-4CC8-A9CF-32272F0B34AB}"/>
              </c:ext>
            </c:extLst>
          </c:dPt>
          <c:dPt>
            <c:idx val="25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5-48F8-4CC8-A9CF-32272F0B34AB}"/>
              </c:ext>
            </c:extLst>
          </c:dPt>
          <c:dPt>
            <c:idx val="25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7-48F8-4CC8-A9CF-32272F0B34AB}"/>
              </c:ext>
            </c:extLst>
          </c:dPt>
          <c:dPt>
            <c:idx val="25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9-48F8-4CC8-A9CF-32272F0B34AB}"/>
              </c:ext>
            </c:extLst>
          </c:dPt>
          <c:dPt>
            <c:idx val="25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B-48F8-4CC8-A9CF-32272F0B34AB}"/>
              </c:ext>
            </c:extLst>
          </c:dPt>
          <c:dPt>
            <c:idx val="25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D-48F8-4CC8-A9CF-32272F0B34AB}"/>
              </c:ext>
            </c:extLst>
          </c:dPt>
          <c:dPt>
            <c:idx val="25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1FF-48F8-4CC8-A9CF-32272F0B34AB}"/>
              </c:ext>
            </c:extLst>
          </c:dPt>
          <c:dPt>
            <c:idx val="25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1-48F8-4CC8-A9CF-32272F0B34AB}"/>
              </c:ext>
            </c:extLst>
          </c:dPt>
          <c:dPt>
            <c:idx val="25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3-48F8-4CC8-A9CF-32272F0B34AB}"/>
              </c:ext>
            </c:extLst>
          </c:dPt>
          <c:dPt>
            <c:idx val="25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5-48F8-4CC8-A9CF-32272F0B34AB}"/>
              </c:ext>
            </c:extLst>
          </c:dPt>
          <c:dPt>
            <c:idx val="25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7-48F8-4CC8-A9CF-32272F0B34AB}"/>
              </c:ext>
            </c:extLst>
          </c:dPt>
          <c:dPt>
            <c:idx val="26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9-48F8-4CC8-A9CF-32272F0B34AB}"/>
              </c:ext>
            </c:extLst>
          </c:dPt>
          <c:dPt>
            <c:idx val="26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B-48F8-4CC8-A9CF-32272F0B34AB}"/>
              </c:ext>
            </c:extLst>
          </c:dPt>
          <c:dPt>
            <c:idx val="26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D-48F8-4CC8-A9CF-32272F0B34AB}"/>
              </c:ext>
            </c:extLst>
          </c:dPt>
          <c:dPt>
            <c:idx val="26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0F-48F8-4CC8-A9CF-32272F0B34AB}"/>
              </c:ext>
            </c:extLst>
          </c:dPt>
          <c:dPt>
            <c:idx val="26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1-48F8-4CC8-A9CF-32272F0B34AB}"/>
              </c:ext>
            </c:extLst>
          </c:dPt>
          <c:dPt>
            <c:idx val="26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3-48F8-4CC8-A9CF-32272F0B34AB}"/>
              </c:ext>
            </c:extLst>
          </c:dPt>
          <c:dPt>
            <c:idx val="26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5-48F8-4CC8-A9CF-32272F0B34AB}"/>
              </c:ext>
            </c:extLst>
          </c:dPt>
          <c:dPt>
            <c:idx val="26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7-48F8-4CC8-A9CF-32272F0B34AB}"/>
              </c:ext>
            </c:extLst>
          </c:dPt>
          <c:dPt>
            <c:idx val="26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9-48F8-4CC8-A9CF-32272F0B34AB}"/>
              </c:ext>
            </c:extLst>
          </c:dPt>
          <c:dPt>
            <c:idx val="26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B-48F8-4CC8-A9CF-32272F0B34AB}"/>
              </c:ext>
            </c:extLst>
          </c:dPt>
          <c:dPt>
            <c:idx val="27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D-48F8-4CC8-A9CF-32272F0B34AB}"/>
              </c:ext>
            </c:extLst>
          </c:dPt>
          <c:dPt>
            <c:idx val="27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1F-48F8-4CC8-A9CF-32272F0B34AB}"/>
              </c:ext>
            </c:extLst>
          </c:dPt>
          <c:dPt>
            <c:idx val="27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1-48F8-4CC8-A9CF-32272F0B34AB}"/>
              </c:ext>
            </c:extLst>
          </c:dPt>
          <c:dPt>
            <c:idx val="27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3-48F8-4CC8-A9CF-32272F0B34AB}"/>
              </c:ext>
            </c:extLst>
          </c:dPt>
          <c:dPt>
            <c:idx val="27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5-48F8-4CC8-A9CF-32272F0B34AB}"/>
              </c:ext>
            </c:extLst>
          </c:dPt>
          <c:dPt>
            <c:idx val="27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7-48F8-4CC8-A9CF-32272F0B34AB}"/>
              </c:ext>
            </c:extLst>
          </c:dPt>
          <c:dPt>
            <c:idx val="27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9-48F8-4CC8-A9CF-32272F0B34AB}"/>
              </c:ext>
            </c:extLst>
          </c:dPt>
          <c:dPt>
            <c:idx val="27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B-48F8-4CC8-A9CF-32272F0B34AB}"/>
              </c:ext>
            </c:extLst>
          </c:dPt>
          <c:dPt>
            <c:idx val="27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D-48F8-4CC8-A9CF-32272F0B34AB}"/>
              </c:ext>
            </c:extLst>
          </c:dPt>
          <c:dPt>
            <c:idx val="27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2F-48F8-4CC8-A9CF-32272F0B34AB}"/>
              </c:ext>
            </c:extLst>
          </c:dPt>
          <c:dPt>
            <c:idx val="28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1-48F8-4CC8-A9CF-32272F0B34AB}"/>
              </c:ext>
            </c:extLst>
          </c:dPt>
          <c:dPt>
            <c:idx val="28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3-48F8-4CC8-A9CF-32272F0B34AB}"/>
              </c:ext>
            </c:extLst>
          </c:dPt>
          <c:dPt>
            <c:idx val="28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5-48F8-4CC8-A9CF-32272F0B34AB}"/>
              </c:ext>
            </c:extLst>
          </c:dPt>
          <c:dPt>
            <c:idx val="28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7-48F8-4CC8-A9CF-32272F0B34AB}"/>
              </c:ext>
            </c:extLst>
          </c:dPt>
          <c:dPt>
            <c:idx val="28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9-48F8-4CC8-A9CF-32272F0B34AB}"/>
              </c:ext>
            </c:extLst>
          </c:dPt>
          <c:dPt>
            <c:idx val="28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B-48F8-4CC8-A9CF-32272F0B34AB}"/>
              </c:ext>
            </c:extLst>
          </c:dPt>
          <c:dPt>
            <c:idx val="28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D-48F8-4CC8-A9CF-32272F0B34AB}"/>
              </c:ext>
            </c:extLst>
          </c:dPt>
          <c:dPt>
            <c:idx val="28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3F-48F8-4CC8-A9CF-32272F0B34AB}"/>
              </c:ext>
            </c:extLst>
          </c:dPt>
          <c:dPt>
            <c:idx val="28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1-48F8-4CC8-A9CF-32272F0B34AB}"/>
              </c:ext>
            </c:extLst>
          </c:dPt>
          <c:dPt>
            <c:idx val="28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3-48F8-4CC8-A9CF-32272F0B34AB}"/>
              </c:ext>
            </c:extLst>
          </c:dPt>
          <c:dPt>
            <c:idx val="29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5-48F8-4CC8-A9CF-32272F0B34AB}"/>
              </c:ext>
            </c:extLst>
          </c:dPt>
          <c:dPt>
            <c:idx val="29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7-48F8-4CC8-A9CF-32272F0B34AB}"/>
              </c:ext>
            </c:extLst>
          </c:dPt>
          <c:dPt>
            <c:idx val="29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9-48F8-4CC8-A9CF-32272F0B34AB}"/>
              </c:ext>
            </c:extLst>
          </c:dPt>
          <c:dPt>
            <c:idx val="29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B-48F8-4CC8-A9CF-32272F0B34AB}"/>
              </c:ext>
            </c:extLst>
          </c:dPt>
          <c:dPt>
            <c:idx val="29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D-48F8-4CC8-A9CF-32272F0B34AB}"/>
              </c:ext>
            </c:extLst>
          </c:dPt>
          <c:dPt>
            <c:idx val="29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4F-48F8-4CC8-A9CF-32272F0B34AB}"/>
              </c:ext>
            </c:extLst>
          </c:dPt>
          <c:dPt>
            <c:idx val="29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1-48F8-4CC8-A9CF-32272F0B34AB}"/>
              </c:ext>
            </c:extLst>
          </c:dPt>
          <c:dPt>
            <c:idx val="29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3-48F8-4CC8-A9CF-32272F0B34AB}"/>
              </c:ext>
            </c:extLst>
          </c:dPt>
          <c:dPt>
            <c:idx val="29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5-48F8-4CC8-A9CF-32272F0B34AB}"/>
              </c:ext>
            </c:extLst>
          </c:dPt>
          <c:dPt>
            <c:idx val="29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7-48F8-4CC8-A9CF-32272F0B34AB}"/>
              </c:ext>
            </c:extLst>
          </c:dPt>
          <c:dPt>
            <c:idx val="30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9-48F8-4CC8-A9CF-32272F0B34AB}"/>
              </c:ext>
            </c:extLst>
          </c:dPt>
          <c:dPt>
            <c:idx val="30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B-48F8-4CC8-A9CF-32272F0B34AB}"/>
              </c:ext>
            </c:extLst>
          </c:dPt>
          <c:dPt>
            <c:idx val="30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D-48F8-4CC8-A9CF-32272F0B34AB}"/>
              </c:ext>
            </c:extLst>
          </c:dPt>
          <c:dPt>
            <c:idx val="30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5F-48F8-4CC8-A9CF-32272F0B34AB}"/>
              </c:ext>
            </c:extLst>
          </c:dPt>
          <c:dPt>
            <c:idx val="30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1-48F8-4CC8-A9CF-32272F0B34AB}"/>
              </c:ext>
            </c:extLst>
          </c:dPt>
          <c:dPt>
            <c:idx val="30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3-48F8-4CC8-A9CF-32272F0B34AB}"/>
              </c:ext>
            </c:extLst>
          </c:dPt>
          <c:dPt>
            <c:idx val="30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5-48F8-4CC8-A9CF-32272F0B34AB}"/>
              </c:ext>
            </c:extLst>
          </c:dPt>
          <c:dPt>
            <c:idx val="30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7-48F8-4CC8-A9CF-32272F0B34AB}"/>
              </c:ext>
            </c:extLst>
          </c:dPt>
          <c:dPt>
            <c:idx val="30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9-48F8-4CC8-A9CF-32272F0B34AB}"/>
              </c:ext>
            </c:extLst>
          </c:dPt>
          <c:dPt>
            <c:idx val="30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B-48F8-4CC8-A9CF-32272F0B34AB}"/>
              </c:ext>
            </c:extLst>
          </c:dPt>
          <c:dPt>
            <c:idx val="3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D-48F8-4CC8-A9CF-32272F0B34AB}"/>
              </c:ext>
            </c:extLst>
          </c:dPt>
          <c:dPt>
            <c:idx val="3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6F-48F8-4CC8-A9CF-32272F0B34AB}"/>
              </c:ext>
            </c:extLst>
          </c:dPt>
          <c:dPt>
            <c:idx val="3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1-48F8-4CC8-A9CF-32272F0B34AB}"/>
              </c:ext>
            </c:extLst>
          </c:dPt>
          <c:dPt>
            <c:idx val="3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3-48F8-4CC8-A9CF-32272F0B34AB}"/>
              </c:ext>
            </c:extLst>
          </c:dPt>
          <c:dPt>
            <c:idx val="3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5-48F8-4CC8-A9CF-32272F0B34AB}"/>
              </c:ext>
            </c:extLst>
          </c:dPt>
          <c:dPt>
            <c:idx val="3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7-48F8-4CC8-A9CF-32272F0B34AB}"/>
              </c:ext>
            </c:extLst>
          </c:dPt>
          <c:dPt>
            <c:idx val="3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9-48F8-4CC8-A9CF-32272F0B34AB}"/>
              </c:ext>
            </c:extLst>
          </c:dPt>
          <c:dPt>
            <c:idx val="3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B-48F8-4CC8-A9CF-32272F0B34AB}"/>
              </c:ext>
            </c:extLst>
          </c:dPt>
          <c:dPt>
            <c:idx val="31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D-48F8-4CC8-A9CF-32272F0B34AB}"/>
              </c:ext>
            </c:extLst>
          </c:dPt>
          <c:dPt>
            <c:idx val="31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7F-48F8-4CC8-A9CF-32272F0B34AB}"/>
              </c:ext>
            </c:extLst>
          </c:dPt>
          <c:dPt>
            <c:idx val="32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1-48F8-4CC8-A9CF-32272F0B34AB}"/>
              </c:ext>
            </c:extLst>
          </c:dPt>
          <c:dPt>
            <c:idx val="32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3-48F8-4CC8-A9CF-32272F0B34AB}"/>
              </c:ext>
            </c:extLst>
          </c:dPt>
          <c:dPt>
            <c:idx val="32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5-48F8-4CC8-A9CF-32272F0B34AB}"/>
              </c:ext>
            </c:extLst>
          </c:dPt>
          <c:dPt>
            <c:idx val="32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7-48F8-4CC8-A9CF-32272F0B34AB}"/>
              </c:ext>
            </c:extLst>
          </c:dPt>
          <c:dPt>
            <c:idx val="32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9-48F8-4CC8-A9CF-32272F0B34AB}"/>
              </c:ext>
            </c:extLst>
          </c:dPt>
          <c:dPt>
            <c:idx val="32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B-48F8-4CC8-A9CF-32272F0B34AB}"/>
              </c:ext>
            </c:extLst>
          </c:dPt>
          <c:dPt>
            <c:idx val="32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D-48F8-4CC8-A9CF-32272F0B34AB}"/>
              </c:ext>
            </c:extLst>
          </c:dPt>
          <c:dPt>
            <c:idx val="32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8F-48F8-4CC8-A9CF-32272F0B34AB}"/>
              </c:ext>
            </c:extLst>
          </c:dPt>
          <c:dPt>
            <c:idx val="32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1-48F8-4CC8-A9CF-32272F0B34AB}"/>
              </c:ext>
            </c:extLst>
          </c:dPt>
          <c:dPt>
            <c:idx val="32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3-48F8-4CC8-A9CF-32272F0B34AB}"/>
              </c:ext>
            </c:extLst>
          </c:dPt>
          <c:dPt>
            <c:idx val="3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5-48F8-4CC8-A9CF-32272F0B34AB}"/>
              </c:ext>
            </c:extLst>
          </c:dPt>
          <c:dPt>
            <c:idx val="3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7-48F8-4CC8-A9CF-32272F0B34AB}"/>
              </c:ext>
            </c:extLst>
          </c:dPt>
          <c:dPt>
            <c:idx val="3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9-48F8-4CC8-A9CF-32272F0B34AB}"/>
              </c:ext>
            </c:extLst>
          </c:dPt>
          <c:dPt>
            <c:idx val="3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B-48F8-4CC8-A9CF-32272F0B34AB}"/>
              </c:ext>
            </c:extLst>
          </c:dPt>
          <c:dPt>
            <c:idx val="3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D-48F8-4CC8-A9CF-32272F0B34AB}"/>
              </c:ext>
            </c:extLst>
          </c:dPt>
          <c:dPt>
            <c:idx val="3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9F-48F8-4CC8-A9CF-32272F0B34AB}"/>
              </c:ext>
            </c:extLst>
          </c:dPt>
          <c:dPt>
            <c:idx val="3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1-48F8-4CC8-A9CF-32272F0B34AB}"/>
              </c:ext>
            </c:extLst>
          </c:dPt>
          <c:dPt>
            <c:idx val="3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3-48F8-4CC8-A9CF-32272F0B34AB}"/>
              </c:ext>
            </c:extLst>
          </c:dPt>
          <c:dPt>
            <c:idx val="3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5-48F8-4CC8-A9CF-32272F0B34AB}"/>
              </c:ext>
            </c:extLst>
          </c:dPt>
          <c:dPt>
            <c:idx val="3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7-48F8-4CC8-A9CF-32272F0B34AB}"/>
              </c:ext>
            </c:extLst>
          </c:dPt>
          <c:dPt>
            <c:idx val="3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9-48F8-4CC8-A9CF-32272F0B34AB}"/>
              </c:ext>
            </c:extLst>
          </c:dPt>
          <c:dPt>
            <c:idx val="3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B-48F8-4CC8-A9CF-32272F0B34AB}"/>
              </c:ext>
            </c:extLst>
          </c:dPt>
          <c:dPt>
            <c:idx val="34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D-48F8-4CC8-A9CF-32272F0B34AB}"/>
              </c:ext>
            </c:extLst>
          </c:dPt>
          <c:dPt>
            <c:idx val="34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AF-48F8-4CC8-A9CF-32272F0B34AB}"/>
              </c:ext>
            </c:extLst>
          </c:dPt>
          <c:dPt>
            <c:idx val="34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1-48F8-4CC8-A9CF-32272F0B34AB}"/>
              </c:ext>
            </c:extLst>
          </c:dPt>
          <c:dPt>
            <c:idx val="34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3-48F8-4CC8-A9CF-32272F0B34AB}"/>
              </c:ext>
            </c:extLst>
          </c:dPt>
          <c:dPt>
            <c:idx val="34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5-48F8-4CC8-A9CF-32272F0B34AB}"/>
              </c:ext>
            </c:extLst>
          </c:dPt>
          <c:dPt>
            <c:idx val="34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7-48F8-4CC8-A9CF-32272F0B34AB}"/>
              </c:ext>
            </c:extLst>
          </c:dPt>
          <c:dPt>
            <c:idx val="34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9-48F8-4CC8-A9CF-32272F0B34AB}"/>
              </c:ext>
            </c:extLst>
          </c:dPt>
          <c:dPt>
            <c:idx val="34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B-48F8-4CC8-A9CF-32272F0B34AB}"/>
              </c:ext>
            </c:extLst>
          </c:dPt>
          <c:dPt>
            <c:idx val="35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D-48F8-4CC8-A9CF-32272F0B34AB}"/>
              </c:ext>
            </c:extLst>
          </c:dPt>
          <c:dPt>
            <c:idx val="35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BF-48F8-4CC8-A9CF-32272F0B34AB}"/>
              </c:ext>
            </c:extLst>
          </c:dPt>
          <c:dPt>
            <c:idx val="35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1-48F8-4CC8-A9CF-32272F0B34AB}"/>
              </c:ext>
            </c:extLst>
          </c:dPt>
          <c:dPt>
            <c:idx val="35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3-48F8-4CC8-A9CF-32272F0B34AB}"/>
              </c:ext>
            </c:extLst>
          </c:dPt>
          <c:dPt>
            <c:idx val="35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5-48F8-4CC8-A9CF-32272F0B34AB}"/>
              </c:ext>
            </c:extLst>
          </c:dPt>
          <c:dPt>
            <c:idx val="35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7-48F8-4CC8-A9CF-32272F0B34AB}"/>
              </c:ext>
            </c:extLst>
          </c:dPt>
          <c:dPt>
            <c:idx val="35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9-48F8-4CC8-A9CF-32272F0B34AB}"/>
              </c:ext>
            </c:extLst>
          </c:dPt>
          <c:dPt>
            <c:idx val="35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B-48F8-4CC8-A9CF-32272F0B34AB}"/>
              </c:ext>
            </c:extLst>
          </c:dPt>
          <c:dPt>
            <c:idx val="35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D-48F8-4CC8-A9CF-32272F0B34AB}"/>
              </c:ext>
            </c:extLst>
          </c:dPt>
          <c:dPt>
            <c:idx val="35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CF-48F8-4CC8-A9CF-32272F0B34AB}"/>
              </c:ext>
            </c:extLst>
          </c:dPt>
          <c:dPt>
            <c:idx val="3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1-48F8-4CC8-A9CF-32272F0B34AB}"/>
              </c:ext>
            </c:extLst>
          </c:dPt>
          <c:dPt>
            <c:idx val="3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3-48F8-4CC8-A9CF-32272F0B34AB}"/>
              </c:ext>
            </c:extLst>
          </c:dPt>
          <c:dPt>
            <c:idx val="3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5-48F8-4CC8-A9CF-32272F0B34AB}"/>
              </c:ext>
            </c:extLst>
          </c:dPt>
          <c:dPt>
            <c:idx val="3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7-48F8-4CC8-A9CF-32272F0B34AB}"/>
              </c:ext>
            </c:extLst>
          </c:dPt>
          <c:dPt>
            <c:idx val="3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9-48F8-4CC8-A9CF-32272F0B34AB}"/>
              </c:ext>
            </c:extLst>
          </c:dPt>
          <c:dPt>
            <c:idx val="3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B-48F8-4CC8-A9CF-32272F0B34AB}"/>
              </c:ext>
            </c:extLst>
          </c:dPt>
          <c:dPt>
            <c:idx val="3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D-48F8-4CC8-A9CF-32272F0B34AB}"/>
              </c:ext>
            </c:extLst>
          </c:dPt>
          <c:dPt>
            <c:idx val="3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DF-48F8-4CC8-A9CF-32272F0B34AB}"/>
              </c:ext>
            </c:extLst>
          </c:dPt>
          <c:dPt>
            <c:idx val="3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1-48F8-4CC8-A9CF-32272F0B34AB}"/>
              </c:ext>
            </c:extLst>
          </c:dPt>
          <c:dPt>
            <c:idx val="3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3-48F8-4CC8-A9CF-32272F0B34AB}"/>
              </c:ext>
            </c:extLst>
          </c:dPt>
          <c:dPt>
            <c:idx val="3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5-48F8-4CC8-A9CF-32272F0B34AB}"/>
              </c:ext>
            </c:extLst>
          </c:dPt>
          <c:dPt>
            <c:idx val="3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2E7-48F8-4CC8-A9CF-32272F0B34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Datos_Grafico_Dispersion!$A$2:$A$373</c:f>
              <c:numCache>
                <c:formatCode>General</c:formatCode>
                <c:ptCount val="372"/>
                <c:pt idx="0">
                  <c:v>73</c:v>
                </c:pt>
                <c:pt idx="1">
                  <c:v>65</c:v>
                </c:pt>
                <c:pt idx="2">
                  <c:v>23</c:v>
                </c:pt>
                <c:pt idx="3">
                  <c:v>59</c:v>
                </c:pt>
                <c:pt idx="4">
                  <c:v>30</c:v>
                </c:pt>
                <c:pt idx="5">
                  <c:v>65</c:v>
                </c:pt>
                <c:pt idx="6">
                  <c:v>62</c:v>
                </c:pt>
                <c:pt idx="7">
                  <c:v>66</c:v>
                </c:pt>
                <c:pt idx="8">
                  <c:v>60</c:v>
                </c:pt>
                <c:pt idx="9">
                  <c:v>44</c:v>
                </c:pt>
                <c:pt idx="10">
                  <c:v>31</c:v>
                </c:pt>
                <c:pt idx="11">
                  <c:v>35</c:v>
                </c:pt>
                <c:pt idx="12">
                  <c:v>66</c:v>
                </c:pt>
                <c:pt idx="13">
                  <c:v>57</c:v>
                </c:pt>
                <c:pt idx="14">
                  <c:v>74</c:v>
                </c:pt>
                <c:pt idx="15">
                  <c:v>64</c:v>
                </c:pt>
                <c:pt idx="16">
                  <c:v>32</c:v>
                </c:pt>
                <c:pt idx="17">
                  <c:v>28</c:v>
                </c:pt>
                <c:pt idx="18">
                  <c:v>33</c:v>
                </c:pt>
                <c:pt idx="19">
                  <c:v>65</c:v>
                </c:pt>
                <c:pt idx="20">
                  <c:v>20</c:v>
                </c:pt>
                <c:pt idx="21">
                  <c:v>62</c:v>
                </c:pt>
                <c:pt idx="22">
                  <c:v>47</c:v>
                </c:pt>
                <c:pt idx="23">
                  <c:v>76</c:v>
                </c:pt>
                <c:pt idx="24">
                  <c:v>43</c:v>
                </c:pt>
                <c:pt idx="25">
                  <c:v>53</c:v>
                </c:pt>
                <c:pt idx="26">
                  <c:v>20</c:v>
                </c:pt>
                <c:pt idx="27">
                  <c:v>57</c:v>
                </c:pt>
                <c:pt idx="28">
                  <c:v>60</c:v>
                </c:pt>
                <c:pt idx="29">
                  <c:v>66</c:v>
                </c:pt>
                <c:pt idx="30">
                  <c:v>57</c:v>
                </c:pt>
                <c:pt idx="31">
                  <c:v>42</c:v>
                </c:pt>
                <c:pt idx="32">
                  <c:v>38</c:v>
                </c:pt>
                <c:pt idx="33">
                  <c:v>55</c:v>
                </c:pt>
                <c:pt idx="34">
                  <c:v>51</c:v>
                </c:pt>
                <c:pt idx="35">
                  <c:v>73</c:v>
                </c:pt>
                <c:pt idx="36">
                  <c:v>34</c:v>
                </c:pt>
                <c:pt idx="37">
                  <c:v>61</c:v>
                </c:pt>
                <c:pt idx="38">
                  <c:v>44</c:v>
                </c:pt>
                <c:pt idx="39">
                  <c:v>52</c:v>
                </c:pt>
                <c:pt idx="40">
                  <c:v>79</c:v>
                </c:pt>
                <c:pt idx="41">
                  <c:v>39</c:v>
                </c:pt>
                <c:pt idx="42">
                  <c:v>73</c:v>
                </c:pt>
                <c:pt idx="43">
                  <c:v>55</c:v>
                </c:pt>
                <c:pt idx="44">
                  <c:v>66</c:v>
                </c:pt>
                <c:pt idx="45">
                  <c:v>45</c:v>
                </c:pt>
                <c:pt idx="46">
                  <c:v>57</c:v>
                </c:pt>
                <c:pt idx="47">
                  <c:v>74</c:v>
                </c:pt>
                <c:pt idx="48">
                  <c:v>43</c:v>
                </c:pt>
                <c:pt idx="49">
                  <c:v>77</c:v>
                </c:pt>
                <c:pt idx="50">
                  <c:v>67</c:v>
                </c:pt>
                <c:pt idx="51">
                  <c:v>28</c:v>
                </c:pt>
                <c:pt idx="52">
                  <c:v>47</c:v>
                </c:pt>
                <c:pt idx="53">
                  <c:v>30</c:v>
                </c:pt>
                <c:pt idx="54">
                  <c:v>38</c:v>
                </c:pt>
                <c:pt idx="55">
                  <c:v>50</c:v>
                </c:pt>
                <c:pt idx="56">
                  <c:v>24</c:v>
                </c:pt>
                <c:pt idx="57">
                  <c:v>64</c:v>
                </c:pt>
                <c:pt idx="58">
                  <c:v>77</c:v>
                </c:pt>
                <c:pt idx="59">
                  <c:v>76</c:v>
                </c:pt>
                <c:pt idx="60">
                  <c:v>79</c:v>
                </c:pt>
                <c:pt idx="61">
                  <c:v>32</c:v>
                </c:pt>
                <c:pt idx="62">
                  <c:v>44</c:v>
                </c:pt>
                <c:pt idx="63">
                  <c:v>70</c:v>
                </c:pt>
                <c:pt idx="64">
                  <c:v>59</c:v>
                </c:pt>
                <c:pt idx="65">
                  <c:v>55</c:v>
                </c:pt>
                <c:pt idx="66">
                  <c:v>54</c:v>
                </c:pt>
                <c:pt idx="67">
                  <c:v>70</c:v>
                </c:pt>
                <c:pt idx="68">
                  <c:v>59</c:v>
                </c:pt>
                <c:pt idx="69">
                  <c:v>23</c:v>
                </c:pt>
                <c:pt idx="70">
                  <c:v>71</c:v>
                </c:pt>
                <c:pt idx="71">
                  <c:v>77</c:v>
                </c:pt>
                <c:pt idx="72">
                  <c:v>23</c:v>
                </c:pt>
                <c:pt idx="73">
                  <c:v>71</c:v>
                </c:pt>
                <c:pt idx="74">
                  <c:v>53</c:v>
                </c:pt>
                <c:pt idx="75">
                  <c:v>38</c:v>
                </c:pt>
                <c:pt idx="76">
                  <c:v>66</c:v>
                </c:pt>
                <c:pt idx="77">
                  <c:v>50</c:v>
                </c:pt>
                <c:pt idx="78">
                  <c:v>36</c:v>
                </c:pt>
                <c:pt idx="79">
                  <c:v>27</c:v>
                </c:pt>
                <c:pt idx="80">
                  <c:v>40</c:v>
                </c:pt>
                <c:pt idx="81">
                  <c:v>66</c:v>
                </c:pt>
                <c:pt idx="82">
                  <c:v>36</c:v>
                </c:pt>
                <c:pt idx="83">
                  <c:v>54</c:v>
                </c:pt>
                <c:pt idx="84">
                  <c:v>43</c:v>
                </c:pt>
                <c:pt idx="85">
                  <c:v>21</c:v>
                </c:pt>
                <c:pt idx="86">
                  <c:v>30</c:v>
                </c:pt>
                <c:pt idx="87">
                  <c:v>22</c:v>
                </c:pt>
                <c:pt idx="88">
                  <c:v>46</c:v>
                </c:pt>
                <c:pt idx="89">
                  <c:v>47</c:v>
                </c:pt>
                <c:pt idx="90">
                  <c:v>21</c:v>
                </c:pt>
                <c:pt idx="91">
                  <c:v>37</c:v>
                </c:pt>
                <c:pt idx="92">
                  <c:v>43</c:v>
                </c:pt>
                <c:pt idx="93">
                  <c:v>25</c:v>
                </c:pt>
                <c:pt idx="94">
                  <c:v>24</c:v>
                </c:pt>
                <c:pt idx="95">
                  <c:v>38</c:v>
                </c:pt>
                <c:pt idx="96">
                  <c:v>27</c:v>
                </c:pt>
                <c:pt idx="97">
                  <c:v>51</c:v>
                </c:pt>
                <c:pt idx="98">
                  <c:v>34</c:v>
                </c:pt>
                <c:pt idx="99">
                  <c:v>66</c:v>
                </c:pt>
                <c:pt idx="100">
                  <c:v>79</c:v>
                </c:pt>
                <c:pt idx="101">
                  <c:v>78</c:v>
                </c:pt>
                <c:pt idx="102">
                  <c:v>62</c:v>
                </c:pt>
                <c:pt idx="103">
                  <c:v>70</c:v>
                </c:pt>
                <c:pt idx="104">
                  <c:v>80</c:v>
                </c:pt>
                <c:pt idx="105">
                  <c:v>79</c:v>
                </c:pt>
                <c:pt idx="106">
                  <c:v>39</c:v>
                </c:pt>
                <c:pt idx="107">
                  <c:v>71</c:v>
                </c:pt>
                <c:pt idx="108">
                  <c:v>57</c:v>
                </c:pt>
                <c:pt idx="109">
                  <c:v>79</c:v>
                </c:pt>
                <c:pt idx="110">
                  <c:v>79</c:v>
                </c:pt>
                <c:pt idx="111">
                  <c:v>67</c:v>
                </c:pt>
                <c:pt idx="112">
                  <c:v>61</c:v>
                </c:pt>
                <c:pt idx="113">
                  <c:v>47</c:v>
                </c:pt>
                <c:pt idx="114">
                  <c:v>45</c:v>
                </c:pt>
                <c:pt idx="115">
                  <c:v>60</c:v>
                </c:pt>
                <c:pt idx="116">
                  <c:v>46</c:v>
                </c:pt>
                <c:pt idx="117">
                  <c:v>29</c:v>
                </c:pt>
                <c:pt idx="118">
                  <c:v>68</c:v>
                </c:pt>
                <c:pt idx="119">
                  <c:v>73</c:v>
                </c:pt>
                <c:pt idx="120">
                  <c:v>54</c:v>
                </c:pt>
                <c:pt idx="121">
                  <c:v>44</c:v>
                </c:pt>
                <c:pt idx="122">
                  <c:v>73</c:v>
                </c:pt>
                <c:pt idx="123">
                  <c:v>51</c:v>
                </c:pt>
                <c:pt idx="124">
                  <c:v>22</c:v>
                </c:pt>
                <c:pt idx="125">
                  <c:v>38</c:v>
                </c:pt>
                <c:pt idx="126">
                  <c:v>28</c:v>
                </c:pt>
                <c:pt idx="127">
                  <c:v>54</c:v>
                </c:pt>
                <c:pt idx="128">
                  <c:v>33</c:v>
                </c:pt>
                <c:pt idx="129">
                  <c:v>77</c:v>
                </c:pt>
                <c:pt idx="130">
                  <c:v>20</c:v>
                </c:pt>
                <c:pt idx="131">
                  <c:v>62</c:v>
                </c:pt>
                <c:pt idx="132">
                  <c:v>45</c:v>
                </c:pt>
                <c:pt idx="133">
                  <c:v>27</c:v>
                </c:pt>
                <c:pt idx="134">
                  <c:v>47</c:v>
                </c:pt>
                <c:pt idx="135">
                  <c:v>50</c:v>
                </c:pt>
                <c:pt idx="136">
                  <c:v>50</c:v>
                </c:pt>
                <c:pt idx="137">
                  <c:v>79</c:v>
                </c:pt>
                <c:pt idx="138">
                  <c:v>68</c:v>
                </c:pt>
                <c:pt idx="139">
                  <c:v>60</c:v>
                </c:pt>
                <c:pt idx="140">
                  <c:v>62</c:v>
                </c:pt>
                <c:pt idx="141">
                  <c:v>23</c:v>
                </c:pt>
                <c:pt idx="142">
                  <c:v>49</c:v>
                </c:pt>
                <c:pt idx="143">
                  <c:v>29</c:v>
                </c:pt>
                <c:pt idx="144">
                  <c:v>40</c:v>
                </c:pt>
                <c:pt idx="145">
                  <c:v>72</c:v>
                </c:pt>
                <c:pt idx="146">
                  <c:v>65</c:v>
                </c:pt>
                <c:pt idx="147">
                  <c:v>46</c:v>
                </c:pt>
                <c:pt idx="148">
                  <c:v>21</c:v>
                </c:pt>
                <c:pt idx="149">
                  <c:v>28</c:v>
                </c:pt>
                <c:pt idx="150">
                  <c:v>30</c:v>
                </c:pt>
                <c:pt idx="151">
                  <c:v>72</c:v>
                </c:pt>
                <c:pt idx="152">
                  <c:v>74</c:v>
                </c:pt>
                <c:pt idx="153">
                  <c:v>79</c:v>
                </c:pt>
                <c:pt idx="154">
                  <c:v>30</c:v>
                </c:pt>
                <c:pt idx="155">
                  <c:v>20</c:v>
                </c:pt>
                <c:pt idx="156">
                  <c:v>67</c:v>
                </c:pt>
                <c:pt idx="157">
                  <c:v>56</c:v>
                </c:pt>
                <c:pt idx="158">
                  <c:v>80</c:v>
                </c:pt>
                <c:pt idx="159">
                  <c:v>47</c:v>
                </c:pt>
                <c:pt idx="160">
                  <c:v>72</c:v>
                </c:pt>
                <c:pt idx="161">
                  <c:v>70</c:v>
                </c:pt>
                <c:pt idx="162">
                  <c:v>55</c:v>
                </c:pt>
                <c:pt idx="163">
                  <c:v>66</c:v>
                </c:pt>
                <c:pt idx="164">
                  <c:v>74</c:v>
                </c:pt>
                <c:pt idx="165">
                  <c:v>31</c:v>
                </c:pt>
                <c:pt idx="166">
                  <c:v>33</c:v>
                </c:pt>
                <c:pt idx="167">
                  <c:v>21</c:v>
                </c:pt>
                <c:pt idx="168">
                  <c:v>56</c:v>
                </c:pt>
                <c:pt idx="169">
                  <c:v>38</c:v>
                </c:pt>
                <c:pt idx="170">
                  <c:v>72</c:v>
                </c:pt>
                <c:pt idx="171">
                  <c:v>23</c:v>
                </c:pt>
                <c:pt idx="172">
                  <c:v>50</c:v>
                </c:pt>
                <c:pt idx="173">
                  <c:v>21</c:v>
                </c:pt>
                <c:pt idx="174">
                  <c:v>35</c:v>
                </c:pt>
                <c:pt idx="175">
                  <c:v>34</c:v>
                </c:pt>
                <c:pt idx="176">
                  <c:v>62</c:v>
                </c:pt>
                <c:pt idx="177">
                  <c:v>20</c:v>
                </c:pt>
                <c:pt idx="178">
                  <c:v>32</c:v>
                </c:pt>
                <c:pt idx="179">
                  <c:v>55</c:v>
                </c:pt>
                <c:pt idx="180">
                  <c:v>28</c:v>
                </c:pt>
                <c:pt idx="181">
                  <c:v>67</c:v>
                </c:pt>
                <c:pt idx="182">
                  <c:v>49</c:v>
                </c:pt>
                <c:pt idx="183">
                  <c:v>37</c:v>
                </c:pt>
                <c:pt idx="184">
                  <c:v>34</c:v>
                </c:pt>
                <c:pt idx="185">
                  <c:v>54</c:v>
                </c:pt>
                <c:pt idx="186">
                  <c:v>36</c:v>
                </c:pt>
                <c:pt idx="187">
                  <c:v>62</c:v>
                </c:pt>
                <c:pt idx="188">
                  <c:v>57</c:v>
                </c:pt>
                <c:pt idx="189">
                  <c:v>80</c:v>
                </c:pt>
                <c:pt idx="190">
                  <c:v>63</c:v>
                </c:pt>
                <c:pt idx="191">
                  <c:v>79</c:v>
                </c:pt>
                <c:pt idx="192">
                  <c:v>72</c:v>
                </c:pt>
                <c:pt idx="193">
                  <c:v>60</c:v>
                </c:pt>
                <c:pt idx="194">
                  <c:v>67</c:v>
                </c:pt>
                <c:pt idx="195">
                  <c:v>36</c:v>
                </c:pt>
                <c:pt idx="196">
                  <c:v>50</c:v>
                </c:pt>
                <c:pt idx="197">
                  <c:v>66</c:v>
                </c:pt>
                <c:pt idx="198">
                  <c:v>70</c:v>
                </c:pt>
                <c:pt idx="199">
                  <c:v>33</c:v>
                </c:pt>
                <c:pt idx="200">
                  <c:v>56</c:v>
                </c:pt>
                <c:pt idx="201">
                  <c:v>20</c:v>
                </c:pt>
                <c:pt idx="202">
                  <c:v>75</c:v>
                </c:pt>
                <c:pt idx="203">
                  <c:v>37</c:v>
                </c:pt>
                <c:pt idx="204">
                  <c:v>33</c:v>
                </c:pt>
                <c:pt idx="205">
                  <c:v>47</c:v>
                </c:pt>
                <c:pt idx="206">
                  <c:v>39</c:v>
                </c:pt>
                <c:pt idx="207">
                  <c:v>31</c:v>
                </c:pt>
                <c:pt idx="208">
                  <c:v>53</c:v>
                </c:pt>
                <c:pt idx="209">
                  <c:v>44</c:v>
                </c:pt>
                <c:pt idx="210">
                  <c:v>52</c:v>
                </c:pt>
                <c:pt idx="211">
                  <c:v>55</c:v>
                </c:pt>
                <c:pt idx="212">
                  <c:v>25</c:v>
                </c:pt>
                <c:pt idx="213">
                  <c:v>54</c:v>
                </c:pt>
                <c:pt idx="214">
                  <c:v>69</c:v>
                </c:pt>
                <c:pt idx="215">
                  <c:v>26</c:v>
                </c:pt>
                <c:pt idx="216">
                  <c:v>51</c:v>
                </c:pt>
                <c:pt idx="217">
                  <c:v>28</c:v>
                </c:pt>
                <c:pt idx="218">
                  <c:v>53</c:v>
                </c:pt>
                <c:pt idx="219">
                  <c:v>67</c:v>
                </c:pt>
                <c:pt idx="220">
                  <c:v>65</c:v>
                </c:pt>
                <c:pt idx="221">
                  <c:v>47</c:v>
                </c:pt>
                <c:pt idx="222">
                  <c:v>28</c:v>
                </c:pt>
                <c:pt idx="223">
                  <c:v>53</c:v>
                </c:pt>
                <c:pt idx="224">
                  <c:v>33</c:v>
                </c:pt>
                <c:pt idx="225">
                  <c:v>50</c:v>
                </c:pt>
                <c:pt idx="226">
                  <c:v>44</c:v>
                </c:pt>
                <c:pt idx="227">
                  <c:v>74</c:v>
                </c:pt>
                <c:pt idx="228">
                  <c:v>74</c:v>
                </c:pt>
                <c:pt idx="229">
                  <c:v>38</c:v>
                </c:pt>
                <c:pt idx="230">
                  <c:v>30</c:v>
                </c:pt>
                <c:pt idx="231">
                  <c:v>61</c:v>
                </c:pt>
                <c:pt idx="232">
                  <c:v>64</c:v>
                </c:pt>
                <c:pt idx="233">
                  <c:v>36</c:v>
                </c:pt>
                <c:pt idx="234">
                  <c:v>44</c:v>
                </c:pt>
                <c:pt idx="235">
                  <c:v>24</c:v>
                </c:pt>
                <c:pt idx="236">
                  <c:v>59</c:v>
                </c:pt>
                <c:pt idx="237">
                  <c:v>54</c:v>
                </c:pt>
                <c:pt idx="238">
                  <c:v>40</c:v>
                </c:pt>
                <c:pt idx="239">
                  <c:v>43</c:v>
                </c:pt>
                <c:pt idx="240">
                  <c:v>66</c:v>
                </c:pt>
                <c:pt idx="241">
                  <c:v>52</c:v>
                </c:pt>
                <c:pt idx="242">
                  <c:v>69</c:v>
                </c:pt>
                <c:pt idx="243">
                  <c:v>75</c:v>
                </c:pt>
                <c:pt idx="244">
                  <c:v>66</c:v>
                </c:pt>
                <c:pt idx="245">
                  <c:v>41</c:v>
                </c:pt>
                <c:pt idx="246">
                  <c:v>35</c:v>
                </c:pt>
                <c:pt idx="247">
                  <c:v>47</c:v>
                </c:pt>
                <c:pt idx="248">
                  <c:v>33</c:v>
                </c:pt>
                <c:pt idx="249">
                  <c:v>62</c:v>
                </c:pt>
                <c:pt idx="250">
                  <c:v>39</c:v>
                </c:pt>
                <c:pt idx="251">
                  <c:v>48</c:v>
                </c:pt>
                <c:pt idx="252">
                  <c:v>51</c:v>
                </c:pt>
                <c:pt idx="253">
                  <c:v>20</c:v>
                </c:pt>
                <c:pt idx="254">
                  <c:v>68</c:v>
                </c:pt>
                <c:pt idx="255">
                  <c:v>40</c:v>
                </c:pt>
                <c:pt idx="256">
                  <c:v>43</c:v>
                </c:pt>
                <c:pt idx="257">
                  <c:v>42</c:v>
                </c:pt>
                <c:pt idx="258">
                  <c:v>67</c:v>
                </c:pt>
                <c:pt idx="259">
                  <c:v>65</c:v>
                </c:pt>
                <c:pt idx="260">
                  <c:v>27</c:v>
                </c:pt>
                <c:pt idx="261">
                  <c:v>34</c:v>
                </c:pt>
                <c:pt idx="262">
                  <c:v>62</c:v>
                </c:pt>
                <c:pt idx="263">
                  <c:v>41</c:v>
                </c:pt>
                <c:pt idx="264">
                  <c:v>21</c:v>
                </c:pt>
                <c:pt idx="265">
                  <c:v>25</c:v>
                </c:pt>
                <c:pt idx="266">
                  <c:v>55</c:v>
                </c:pt>
                <c:pt idx="267">
                  <c:v>51</c:v>
                </c:pt>
                <c:pt idx="268">
                  <c:v>29</c:v>
                </c:pt>
                <c:pt idx="269">
                  <c:v>34</c:v>
                </c:pt>
                <c:pt idx="270">
                  <c:v>48</c:v>
                </c:pt>
                <c:pt idx="271">
                  <c:v>42</c:v>
                </c:pt>
                <c:pt idx="272">
                  <c:v>47</c:v>
                </c:pt>
                <c:pt idx="273">
                  <c:v>20</c:v>
                </c:pt>
                <c:pt idx="274">
                  <c:v>28</c:v>
                </c:pt>
                <c:pt idx="275">
                  <c:v>63</c:v>
                </c:pt>
                <c:pt idx="276">
                  <c:v>35</c:v>
                </c:pt>
                <c:pt idx="277">
                  <c:v>71</c:v>
                </c:pt>
                <c:pt idx="278">
                  <c:v>30</c:v>
                </c:pt>
                <c:pt idx="279">
                  <c:v>23</c:v>
                </c:pt>
                <c:pt idx="280">
                  <c:v>48</c:v>
                </c:pt>
                <c:pt idx="281">
                  <c:v>69</c:v>
                </c:pt>
                <c:pt idx="282">
                  <c:v>66</c:v>
                </c:pt>
                <c:pt idx="283">
                  <c:v>24</c:v>
                </c:pt>
                <c:pt idx="284">
                  <c:v>35</c:v>
                </c:pt>
                <c:pt idx="285">
                  <c:v>80</c:v>
                </c:pt>
                <c:pt idx="286">
                  <c:v>34</c:v>
                </c:pt>
                <c:pt idx="287">
                  <c:v>30</c:v>
                </c:pt>
                <c:pt idx="288">
                  <c:v>43</c:v>
                </c:pt>
                <c:pt idx="289">
                  <c:v>33</c:v>
                </c:pt>
                <c:pt idx="290">
                  <c:v>39</c:v>
                </c:pt>
                <c:pt idx="291">
                  <c:v>30</c:v>
                </c:pt>
                <c:pt idx="292">
                  <c:v>70</c:v>
                </c:pt>
                <c:pt idx="293">
                  <c:v>76</c:v>
                </c:pt>
                <c:pt idx="294">
                  <c:v>69</c:v>
                </c:pt>
                <c:pt idx="295">
                  <c:v>38</c:v>
                </c:pt>
                <c:pt idx="296">
                  <c:v>44</c:v>
                </c:pt>
                <c:pt idx="297">
                  <c:v>45</c:v>
                </c:pt>
                <c:pt idx="298">
                  <c:v>65</c:v>
                </c:pt>
                <c:pt idx="299">
                  <c:v>30</c:v>
                </c:pt>
                <c:pt idx="300">
                  <c:v>53</c:v>
                </c:pt>
                <c:pt idx="301">
                  <c:v>77</c:v>
                </c:pt>
                <c:pt idx="302">
                  <c:v>64</c:v>
                </c:pt>
                <c:pt idx="303">
                  <c:v>24</c:v>
                </c:pt>
                <c:pt idx="304">
                  <c:v>74</c:v>
                </c:pt>
                <c:pt idx="305">
                  <c:v>36</c:v>
                </c:pt>
                <c:pt idx="306">
                  <c:v>50</c:v>
                </c:pt>
                <c:pt idx="307">
                  <c:v>70</c:v>
                </c:pt>
                <c:pt idx="308">
                  <c:v>75</c:v>
                </c:pt>
                <c:pt idx="309">
                  <c:v>51</c:v>
                </c:pt>
                <c:pt idx="310">
                  <c:v>40</c:v>
                </c:pt>
                <c:pt idx="311">
                  <c:v>36</c:v>
                </c:pt>
                <c:pt idx="312">
                  <c:v>58</c:v>
                </c:pt>
                <c:pt idx="313">
                  <c:v>37</c:v>
                </c:pt>
                <c:pt idx="314">
                  <c:v>52</c:v>
                </c:pt>
                <c:pt idx="315">
                  <c:v>20</c:v>
                </c:pt>
                <c:pt idx="316">
                  <c:v>23</c:v>
                </c:pt>
                <c:pt idx="317">
                  <c:v>57</c:v>
                </c:pt>
                <c:pt idx="318">
                  <c:v>45</c:v>
                </c:pt>
                <c:pt idx="319">
                  <c:v>59</c:v>
                </c:pt>
                <c:pt idx="320">
                  <c:v>21</c:v>
                </c:pt>
                <c:pt idx="321">
                  <c:v>50</c:v>
                </c:pt>
                <c:pt idx="322">
                  <c:v>42</c:v>
                </c:pt>
                <c:pt idx="323">
                  <c:v>21</c:v>
                </c:pt>
                <c:pt idx="324">
                  <c:v>29</c:v>
                </c:pt>
                <c:pt idx="325">
                  <c:v>33</c:v>
                </c:pt>
                <c:pt idx="326">
                  <c:v>59</c:v>
                </c:pt>
                <c:pt idx="327">
                  <c:v>21</c:v>
                </c:pt>
                <c:pt idx="328">
                  <c:v>41</c:v>
                </c:pt>
                <c:pt idx="329">
                  <c:v>42</c:v>
                </c:pt>
                <c:pt idx="330">
                  <c:v>63</c:v>
                </c:pt>
                <c:pt idx="331">
                  <c:v>26</c:v>
                </c:pt>
                <c:pt idx="332">
                  <c:v>63</c:v>
                </c:pt>
                <c:pt idx="333">
                  <c:v>55</c:v>
                </c:pt>
                <c:pt idx="334">
                  <c:v>62</c:v>
                </c:pt>
                <c:pt idx="335">
                  <c:v>60</c:v>
                </c:pt>
                <c:pt idx="336">
                  <c:v>37</c:v>
                </c:pt>
                <c:pt idx="337">
                  <c:v>57</c:v>
                </c:pt>
                <c:pt idx="338">
                  <c:v>44</c:v>
                </c:pt>
                <c:pt idx="339">
                  <c:v>74</c:v>
                </c:pt>
                <c:pt idx="340">
                  <c:v>69</c:v>
                </c:pt>
                <c:pt idx="341">
                  <c:v>35</c:v>
                </c:pt>
                <c:pt idx="342">
                  <c:v>66</c:v>
                </c:pt>
                <c:pt idx="343">
                  <c:v>60</c:v>
                </c:pt>
                <c:pt idx="344">
                  <c:v>31</c:v>
                </c:pt>
                <c:pt idx="345">
                  <c:v>63</c:v>
                </c:pt>
                <c:pt idx="346">
                  <c:v>73</c:v>
                </c:pt>
                <c:pt idx="347">
                  <c:v>24</c:v>
                </c:pt>
                <c:pt idx="348">
                  <c:v>80</c:v>
                </c:pt>
                <c:pt idx="349">
                  <c:v>59</c:v>
                </c:pt>
                <c:pt idx="350">
                  <c:v>63</c:v>
                </c:pt>
                <c:pt idx="351">
                  <c:v>29</c:v>
                </c:pt>
                <c:pt idx="352">
                  <c:v>28</c:v>
                </c:pt>
                <c:pt idx="353">
                  <c:v>77</c:v>
                </c:pt>
                <c:pt idx="354">
                  <c:v>70</c:v>
                </c:pt>
                <c:pt idx="355">
                  <c:v>36</c:v>
                </c:pt>
                <c:pt idx="356">
                  <c:v>72</c:v>
                </c:pt>
                <c:pt idx="357">
                  <c:v>37</c:v>
                </c:pt>
                <c:pt idx="358">
                  <c:v>40</c:v>
                </c:pt>
                <c:pt idx="359">
                  <c:v>72</c:v>
                </c:pt>
                <c:pt idx="360">
                  <c:v>45</c:v>
                </c:pt>
                <c:pt idx="361">
                  <c:v>27</c:v>
                </c:pt>
                <c:pt idx="362">
                  <c:v>49</c:v>
                </c:pt>
                <c:pt idx="363">
                  <c:v>20</c:v>
                </c:pt>
                <c:pt idx="364">
                  <c:v>70</c:v>
                </c:pt>
                <c:pt idx="365">
                  <c:v>72</c:v>
                </c:pt>
                <c:pt idx="366">
                  <c:v>39</c:v>
                </c:pt>
                <c:pt idx="367">
                  <c:v>41</c:v>
                </c:pt>
                <c:pt idx="368">
                  <c:v>51</c:v>
                </c:pt>
                <c:pt idx="369">
                  <c:v>50</c:v>
                </c:pt>
                <c:pt idx="370">
                  <c:v>69</c:v>
                </c:pt>
                <c:pt idx="371">
                  <c:v>49</c:v>
                </c:pt>
              </c:numCache>
            </c:numRef>
          </c:xVal>
          <c:yVal>
            <c:numRef>
              <c:f>Datos_Grafico_Dispersion!$B$2:$B$373</c:f>
              <c:numCache>
                <c:formatCode>General</c:formatCode>
                <c:ptCount val="372"/>
                <c:pt idx="0">
                  <c:v>16060</c:v>
                </c:pt>
                <c:pt idx="1">
                  <c:v>19500</c:v>
                </c:pt>
                <c:pt idx="2">
                  <c:v>5750</c:v>
                </c:pt>
                <c:pt idx="3">
                  <c:v>26550</c:v>
                </c:pt>
                <c:pt idx="4">
                  <c:v>21000</c:v>
                </c:pt>
                <c:pt idx="5">
                  <c:v>14300</c:v>
                </c:pt>
                <c:pt idx="6">
                  <c:v>18600</c:v>
                </c:pt>
                <c:pt idx="7">
                  <c:v>16500</c:v>
                </c:pt>
                <c:pt idx="8">
                  <c:v>27000</c:v>
                </c:pt>
                <c:pt idx="9">
                  <c:v>30800</c:v>
                </c:pt>
                <c:pt idx="10">
                  <c:v>6820</c:v>
                </c:pt>
                <c:pt idx="11">
                  <c:v>10500</c:v>
                </c:pt>
                <c:pt idx="12">
                  <c:v>16500</c:v>
                </c:pt>
                <c:pt idx="13">
                  <c:v>25650</c:v>
                </c:pt>
                <c:pt idx="14">
                  <c:v>51800</c:v>
                </c:pt>
                <c:pt idx="15">
                  <c:v>14080</c:v>
                </c:pt>
                <c:pt idx="16">
                  <c:v>9600</c:v>
                </c:pt>
                <c:pt idx="17">
                  <c:v>7000</c:v>
                </c:pt>
                <c:pt idx="18">
                  <c:v>14850</c:v>
                </c:pt>
                <c:pt idx="19">
                  <c:v>45500</c:v>
                </c:pt>
                <c:pt idx="20">
                  <c:v>4400</c:v>
                </c:pt>
                <c:pt idx="21">
                  <c:v>18600</c:v>
                </c:pt>
                <c:pt idx="22">
                  <c:v>11750</c:v>
                </c:pt>
                <c:pt idx="23">
                  <c:v>34200</c:v>
                </c:pt>
                <c:pt idx="24">
                  <c:v>30100</c:v>
                </c:pt>
                <c:pt idx="25">
                  <c:v>11660</c:v>
                </c:pt>
                <c:pt idx="26">
                  <c:v>6000</c:v>
                </c:pt>
                <c:pt idx="27">
                  <c:v>14250</c:v>
                </c:pt>
                <c:pt idx="28">
                  <c:v>27000</c:v>
                </c:pt>
                <c:pt idx="29">
                  <c:v>46200</c:v>
                </c:pt>
                <c:pt idx="30">
                  <c:v>12540</c:v>
                </c:pt>
                <c:pt idx="31">
                  <c:v>12600</c:v>
                </c:pt>
                <c:pt idx="32">
                  <c:v>9500</c:v>
                </c:pt>
                <c:pt idx="33">
                  <c:v>24750</c:v>
                </c:pt>
                <c:pt idx="34">
                  <c:v>35700</c:v>
                </c:pt>
                <c:pt idx="35">
                  <c:v>16060</c:v>
                </c:pt>
                <c:pt idx="36">
                  <c:v>10200</c:v>
                </c:pt>
                <c:pt idx="37">
                  <c:v>15250</c:v>
                </c:pt>
                <c:pt idx="38">
                  <c:v>19800</c:v>
                </c:pt>
                <c:pt idx="39">
                  <c:v>36400</c:v>
                </c:pt>
                <c:pt idx="40">
                  <c:v>17380</c:v>
                </c:pt>
                <c:pt idx="41">
                  <c:v>11700</c:v>
                </c:pt>
                <c:pt idx="42">
                  <c:v>18250</c:v>
                </c:pt>
                <c:pt idx="43">
                  <c:v>24750</c:v>
                </c:pt>
                <c:pt idx="44">
                  <c:v>46200</c:v>
                </c:pt>
                <c:pt idx="45">
                  <c:v>9900</c:v>
                </c:pt>
                <c:pt idx="46">
                  <c:v>17100</c:v>
                </c:pt>
                <c:pt idx="47">
                  <c:v>18500</c:v>
                </c:pt>
                <c:pt idx="48">
                  <c:v>19350</c:v>
                </c:pt>
                <c:pt idx="49">
                  <c:v>53900</c:v>
                </c:pt>
                <c:pt idx="50">
                  <c:v>14740</c:v>
                </c:pt>
                <c:pt idx="51">
                  <c:v>8400</c:v>
                </c:pt>
                <c:pt idx="52">
                  <c:v>11750</c:v>
                </c:pt>
                <c:pt idx="53">
                  <c:v>13500</c:v>
                </c:pt>
                <c:pt idx="54">
                  <c:v>26600</c:v>
                </c:pt>
                <c:pt idx="55">
                  <c:v>11000</c:v>
                </c:pt>
                <c:pt idx="56">
                  <c:v>7200</c:v>
                </c:pt>
                <c:pt idx="57">
                  <c:v>16000</c:v>
                </c:pt>
                <c:pt idx="58">
                  <c:v>34650</c:v>
                </c:pt>
                <c:pt idx="59">
                  <c:v>53200</c:v>
                </c:pt>
                <c:pt idx="60">
                  <c:v>17380</c:v>
                </c:pt>
                <c:pt idx="61">
                  <c:v>9600</c:v>
                </c:pt>
                <c:pt idx="62">
                  <c:v>11000</c:v>
                </c:pt>
                <c:pt idx="63">
                  <c:v>31500</c:v>
                </c:pt>
                <c:pt idx="64">
                  <c:v>41300</c:v>
                </c:pt>
                <c:pt idx="65">
                  <c:v>12100</c:v>
                </c:pt>
                <c:pt idx="66">
                  <c:v>16200</c:v>
                </c:pt>
                <c:pt idx="67">
                  <c:v>17500</c:v>
                </c:pt>
                <c:pt idx="68">
                  <c:v>26550</c:v>
                </c:pt>
                <c:pt idx="69">
                  <c:v>16100</c:v>
                </c:pt>
                <c:pt idx="70">
                  <c:v>15620</c:v>
                </c:pt>
                <c:pt idx="71">
                  <c:v>23100</c:v>
                </c:pt>
                <c:pt idx="72">
                  <c:v>5750</c:v>
                </c:pt>
                <c:pt idx="73">
                  <c:v>31950</c:v>
                </c:pt>
                <c:pt idx="74">
                  <c:v>37100</c:v>
                </c:pt>
                <c:pt idx="75">
                  <c:v>8360</c:v>
                </c:pt>
                <c:pt idx="76">
                  <c:v>19800</c:v>
                </c:pt>
                <c:pt idx="77">
                  <c:v>12500</c:v>
                </c:pt>
                <c:pt idx="78">
                  <c:v>16200</c:v>
                </c:pt>
                <c:pt idx="79">
                  <c:v>18900</c:v>
                </c:pt>
                <c:pt idx="80">
                  <c:v>8800</c:v>
                </c:pt>
                <c:pt idx="81">
                  <c:v>19800</c:v>
                </c:pt>
                <c:pt idx="82">
                  <c:v>9000</c:v>
                </c:pt>
                <c:pt idx="83">
                  <c:v>24300</c:v>
                </c:pt>
                <c:pt idx="84">
                  <c:v>30100</c:v>
                </c:pt>
                <c:pt idx="85">
                  <c:v>4620</c:v>
                </c:pt>
                <c:pt idx="86">
                  <c:v>9000</c:v>
                </c:pt>
                <c:pt idx="87">
                  <c:v>5500</c:v>
                </c:pt>
                <c:pt idx="88">
                  <c:v>20700</c:v>
                </c:pt>
                <c:pt idx="89">
                  <c:v>32900</c:v>
                </c:pt>
                <c:pt idx="90">
                  <c:v>4620</c:v>
                </c:pt>
                <c:pt idx="91">
                  <c:v>11100</c:v>
                </c:pt>
                <c:pt idx="92">
                  <c:v>10750</c:v>
                </c:pt>
                <c:pt idx="93">
                  <c:v>11250</c:v>
                </c:pt>
                <c:pt idx="94">
                  <c:v>16800</c:v>
                </c:pt>
                <c:pt idx="95">
                  <c:v>8360</c:v>
                </c:pt>
                <c:pt idx="96">
                  <c:v>8100</c:v>
                </c:pt>
                <c:pt idx="97">
                  <c:v>12750</c:v>
                </c:pt>
                <c:pt idx="98">
                  <c:v>15300</c:v>
                </c:pt>
                <c:pt idx="99">
                  <c:v>46200</c:v>
                </c:pt>
                <c:pt idx="100">
                  <c:v>23700</c:v>
                </c:pt>
                <c:pt idx="101">
                  <c:v>19500</c:v>
                </c:pt>
                <c:pt idx="102">
                  <c:v>27900</c:v>
                </c:pt>
                <c:pt idx="103">
                  <c:v>49000</c:v>
                </c:pt>
                <c:pt idx="104">
                  <c:v>17600</c:v>
                </c:pt>
                <c:pt idx="105">
                  <c:v>23700</c:v>
                </c:pt>
                <c:pt idx="106">
                  <c:v>9750</c:v>
                </c:pt>
                <c:pt idx="107">
                  <c:v>31950</c:v>
                </c:pt>
                <c:pt idx="108">
                  <c:v>39900</c:v>
                </c:pt>
                <c:pt idx="109">
                  <c:v>17380</c:v>
                </c:pt>
                <c:pt idx="110">
                  <c:v>23700</c:v>
                </c:pt>
                <c:pt idx="111">
                  <c:v>16750</c:v>
                </c:pt>
                <c:pt idx="112">
                  <c:v>27450</c:v>
                </c:pt>
                <c:pt idx="113">
                  <c:v>32900</c:v>
                </c:pt>
                <c:pt idx="114">
                  <c:v>9900</c:v>
                </c:pt>
                <c:pt idx="115">
                  <c:v>18000</c:v>
                </c:pt>
                <c:pt idx="116">
                  <c:v>11500</c:v>
                </c:pt>
                <c:pt idx="117">
                  <c:v>13050</c:v>
                </c:pt>
                <c:pt idx="118">
                  <c:v>47600</c:v>
                </c:pt>
                <c:pt idx="119">
                  <c:v>16060</c:v>
                </c:pt>
                <c:pt idx="120">
                  <c:v>16200</c:v>
                </c:pt>
                <c:pt idx="121">
                  <c:v>11000</c:v>
                </c:pt>
                <c:pt idx="122">
                  <c:v>32850</c:v>
                </c:pt>
                <c:pt idx="123">
                  <c:v>35700</c:v>
                </c:pt>
                <c:pt idx="124">
                  <c:v>4840</c:v>
                </c:pt>
                <c:pt idx="125">
                  <c:v>11400</c:v>
                </c:pt>
                <c:pt idx="126">
                  <c:v>7000</c:v>
                </c:pt>
                <c:pt idx="127">
                  <c:v>24300</c:v>
                </c:pt>
                <c:pt idx="128">
                  <c:v>23100</c:v>
                </c:pt>
                <c:pt idx="129">
                  <c:v>16940</c:v>
                </c:pt>
                <c:pt idx="130">
                  <c:v>6000</c:v>
                </c:pt>
                <c:pt idx="131">
                  <c:v>15500</c:v>
                </c:pt>
                <c:pt idx="132">
                  <c:v>20250</c:v>
                </c:pt>
                <c:pt idx="133">
                  <c:v>18900</c:v>
                </c:pt>
                <c:pt idx="134">
                  <c:v>10340</c:v>
                </c:pt>
                <c:pt idx="135">
                  <c:v>15000</c:v>
                </c:pt>
                <c:pt idx="136">
                  <c:v>12500</c:v>
                </c:pt>
                <c:pt idx="137">
                  <c:v>35550</c:v>
                </c:pt>
                <c:pt idx="138">
                  <c:v>47600</c:v>
                </c:pt>
                <c:pt idx="139">
                  <c:v>13200</c:v>
                </c:pt>
                <c:pt idx="140">
                  <c:v>18600</c:v>
                </c:pt>
                <c:pt idx="141">
                  <c:v>5750</c:v>
                </c:pt>
                <c:pt idx="142">
                  <c:v>22050</c:v>
                </c:pt>
                <c:pt idx="143">
                  <c:v>20300</c:v>
                </c:pt>
                <c:pt idx="144">
                  <c:v>8800</c:v>
                </c:pt>
                <c:pt idx="145">
                  <c:v>21600</c:v>
                </c:pt>
                <c:pt idx="146">
                  <c:v>16250</c:v>
                </c:pt>
                <c:pt idx="147">
                  <c:v>20700</c:v>
                </c:pt>
                <c:pt idx="148">
                  <c:v>14700</c:v>
                </c:pt>
                <c:pt idx="149">
                  <c:v>6160</c:v>
                </c:pt>
                <c:pt idx="150">
                  <c:v>9000</c:v>
                </c:pt>
                <c:pt idx="151">
                  <c:v>18000</c:v>
                </c:pt>
                <c:pt idx="152">
                  <c:v>33300</c:v>
                </c:pt>
                <c:pt idx="153">
                  <c:v>55300</c:v>
                </c:pt>
                <c:pt idx="154">
                  <c:v>6600</c:v>
                </c:pt>
                <c:pt idx="155">
                  <c:v>6000</c:v>
                </c:pt>
                <c:pt idx="156">
                  <c:v>16750</c:v>
                </c:pt>
                <c:pt idx="157">
                  <c:v>25200</c:v>
                </c:pt>
                <c:pt idx="158">
                  <c:v>56000</c:v>
                </c:pt>
                <c:pt idx="159">
                  <c:v>10340</c:v>
                </c:pt>
                <c:pt idx="160">
                  <c:v>21600</c:v>
                </c:pt>
                <c:pt idx="161">
                  <c:v>17500</c:v>
                </c:pt>
                <c:pt idx="162">
                  <c:v>24750</c:v>
                </c:pt>
                <c:pt idx="163">
                  <c:v>46200</c:v>
                </c:pt>
                <c:pt idx="164">
                  <c:v>16280</c:v>
                </c:pt>
                <c:pt idx="165">
                  <c:v>9300</c:v>
                </c:pt>
                <c:pt idx="166">
                  <c:v>8250</c:v>
                </c:pt>
                <c:pt idx="167">
                  <c:v>9450</c:v>
                </c:pt>
                <c:pt idx="168">
                  <c:v>39200</c:v>
                </c:pt>
                <c:pt idx="169">
                  <c:v>8360</c:v>
                </c:pt>
                <c:pt idx="170">
                  <c:v>21600</c:v>
                </c:pt>
                <c:pt idx="171">
                  <c:v>5750</c:v>
                </c:pt>
                <c:pt idx="172">
                  <c:v>22500</c:v>
                </c:pt>
                <c:pt idx="173">
                  <c:v>14700</c:v>
                </c:pt>
                <c:pt idx="174">
                  <c:v>7700</c:v>
                </c:pt>
                <c:pt idx="175">
                  <c:v>10200</c:v>
                </c:pt>
                <c:pt idx="176">
                  <c:v>15500</c:v>
                </c:pt>
                <c:pt idx="177">
                  <c:v>9000</c:v>
                </c:pt>
                <c:pt idx="178">
                  <c:v>22400</c:v>
                </c:pt>
                <c:pt idx="179">
                  <c:v>12100</c:v>
                </c:pt>
                <c:pt idx="180">
                  <c:v>8400</c:v>
                </c:pt>
                <c:pt idx="181">
                  <c:v>16750</c:v>
                </c:pt>
                <c:pt idx="182">
                  <c:v>22050</c:v>
                </c:pt>
                <c:pt idx="183">
                  <c:v>25900</c:v>
                </c:pt>
                <c:pt idx="184">
                  <c:v>7480</c:v>
                </c:pt>
                <c:pt idx="185">
                  <c:v>16200</c:v>
                </c:pt>
                <c:pt idx="186">
                  <c:v>9000</c:v>
                </c:pt>
                <c:pt idx="187">
                  <c:v>27900</c:v>
                </c:pt>
                <c:pt idx="188">
                  <c:v>39900</c:v>
                </c:pt>
                <c:pt idx="189">
                  <c:v>17600</c:v>
                </c:pt>
                <c:pt idx="190">
                  <c:v>18900</c:v>
                </c:pt>
                <c:pt idx="191">
                  <c:v>19750</c:v>
                </c:pt>
                <c:pt idx="192">
                  <c:v>32400</c:v>
                </c:pt>
                <c:pt idx="193">
                  <c:v>42000</c:v>
                </c:pt>
                <c:pt idx="194">
                  <c:v>14740</c:v>
                </c:pt>
                <c:pt idx="195">
                  <c:v>10800</c:v>
                </c:pt>
                <c:pt idx="196">
                  <c:v>12500</c:v>
                </c:pt>
                <c:pt idx="197">
                  <c:v>29700</c:v>
                </c:pt>
                <c:pt idx="198">
                  <c:v>49000</c:v>
                </c:pt>
                <c:pt idx="199">
                  <c:v>7260</c:v>
                </c:pt>
                <c:pt idx="200">
                  <c:v>16800</c:v>
                </c:pt>
                <c:pt idx="201">
                  <c:v>5000</c:v>
                </c:pt>
                <c:pt idx="202">
                  <c:v>33750</c:v>
                </c:pt>
                <c:pt idx="203">
                  <c:v>25900</c:v>
                </c:pt>
                <c:pt idx="204">
                  <c:v>7260</c:v>
                </c:pt>
                <c:pt idx="205">
                  <c:v>14100</c:v>
                </c:pt>
                <c:pt idx="206">
                  <c:v>9750</c:v>
                </c:pt>
                <c:pt idx="207">
                  <c:v>13950</c:v>
                </c:pt>
                <c:pt idx="208">
                  <c:v>37100</c:v>
                </c:pt>
                <c:pt idx="209">
                  <c:v>9680</c:v>
                </c:pt>
                <c:pt idx="210">
                  <c:v>15600</c:v>
                </c:pt>
                <c:pt idx="211">
                  <c:v>13750</c:v>
                </c:pt>
                <c:pt idx="212">
                  <c:v>11250</c:v>
                </c:pt>
                <c:pt idx="213">
                  <c:v>37800</c:v>
                </c:pt>
                <c:pt idx="214">
                  <c:v>15180</c:v>
                </c:pt>
                <c:pt idx="215">
                  <c:v>7800</c:v>
                </c:pt>
                <c:pt idx="216">
                  <c:v>12750</c:v>
                </c:pt>
                <c:pt idx="217">
                  <c:v>12600</c:v>
                </c:pt>
                <c:pt idx="218">
                  <c:v>37100</c:v>
                </c:pt>
                <c:pt idx="219">
                  <c:v>14740</c:v>
                </c:pt>
                <c:pt idx="220">
                  <c:v>19500</c:v>
                </c:pt>
                <c:pt idx="221">
                  <c:v>11750</c:v>
                </c:pt>
                <c:pt idx="222">
                  <c:v>12600</c:v>
                </c:pt>
                <c:pt idx="223">
                  <c:v>37100</c:v>
                </c:pt>
                <c:pt idx="224">
                  <c:v>7260</c:v>
                </c:pt>
                <c:pt idx="225">
                  <c:v>15000</c:v>
                </c:pt>
                <c:pt idx="226">
                  <c:v>11000</c:v>
                </c:pt>
                <c:pt idx="227">
                  <c:v>33300</c:v>
                </c:pt>
                <c:pt idx="228">
                  <c:v>51800</c:v>
                </c:pt>
                <c:pt idx="229">
                  <c:v>8360</c:v>
                </c:pt>
                <c:pt idx="230">
                  <c:v>9000</c:v>
                </c:pt>
                <c:pt idx="231">
                  <c:v>15250</c:v>
                </c:pt>
                <c:pt idx="232">
                  <c:v>28800</c:v>
                </c:pt>
                <c:pt idx="233">
                  <c:v>25200</c:v>
                </c:pt>
                <c:pt idx="234">
                  <c:v>9680</c:v>
                </c:pt>
                <c:pt idx="235">
                  <c:v>7200</c:v>
                </c:pt>
                <c:pt idx="236">
                  <c:v>14750</c:v>
                </c:pt>
                <c:pt idx="237">
                  <c:v>24300</c:v>
                </c:pt>
                <c:pt idx="238">
                  <c:v>28000</c:v>
                </c:pt>
                <c:pt idx="239">
                  <c:v>9460</c:v>
                </c:pt>
                <c:pt idx="240">
                  <c:v>19800</c:v>
                </c:pt>
                <c:pt idx="241">
                  <c:v>13000</c:v>
                </c:pt>
                <c:pt idx="242">
                  <c:v>31050</c:v>
                </c:pt>
                <c:pt idx="243">
                  <c:v>52500</c:v>
                </c:pt>
                <c:pt idx="244">
                  <c:v>14520</c:v>
                </c:pt>
                <c:pt idx="245">
                  <c:v>12300</c:v>
                </c:pt>
                <c:pt idx="246">
                  <c:v>8750</c:v>
                </c:pt>
                <c:pt idx="247">
                  <c:v>21150</c:v>
                </c:pt>
                <c:pt idx="248">
                  <c:v>23100</c:v>
                </c:pt>
                <c:pt idx="249">
                  <c:v>13640</c:v>
                </c:pt>
                <c:pt idx="250">
                  <c:v>11700</c:v>
                </c:pt>
                <c:pt idx="251">
                  <c:v>12000</c:v>
                </c:pt>
                <c:pt idx="252">
                  <c:v>22950</c:v>
                </c:pt>
                <c:pt idx="253">
                  <c:v>14000</c:v>
                </c:pt>
                <c:pt idx="254">
                  <c:v>14960</c:v>
                </c:pt>
                <c:pt idx="255">
                  <c:v>12000</c:v>
                </c:pt>
                <c:pt idx="256">
                  <c:v>10750</c:v>
                </c:pt>
                <c:pt idx="257">
                  <c:v>18900</c:v>
                </c:pt>
                <c:pt idx="258">
                  <c:v>46900</c:v>
                </c:pt>
                <c:pt idx="259">
                  <c:v>14300</c:v>
                </c:pt>
                <c:pt idx="260">
                  <c:v>8100</c:v>
                </c:pt>
                <c:pt idx="261">
                  <c:v>8500</c:v>
                </c:pt>
                <c:pt idx="262">
                  <c:v>27900</c:v>
                </c:pt>
                <c:pt idx="263">
                  <c:v>28700</c:v>
                </c:pt>
                <c:pt idx="264">
                  <c:v>4620</c:v>
                </c:pt>
                <c:pt idx="265">
                  <c:v>7500</c:v>
                </c:pt>
                <c:pt idx="266">
                  <c:v>13750</c:v>
                </c:pt>
                <c:pt idx="267">
                  <c:v>22950</c:v>
                </c:pt>
                <c:pt idx="268">
                  <c:v>20300</c:v>
                </c:pt>
                <c:pt idx="269">
                  <c:v>7480</c:v>
                </c:pt>
                <c:pt idx="270">
                  <c:v>14400</c:v>
                </c:pt>
                <c:pt idx="271">
                  <c:v>10500</c:v>
                </c:pt>
                <c:pt idx="272">
                  <c:v>21150</c:v>
                </c:pt>
                <c:pt idx="273">
                  <c:v>14000</c:v>
                </c:pt>
                <c:pt idx="274">
                  <c:v>6160</c:v>
                </c:pt>
                <c:pt idx="275">
                  <c:v>18900</c:v>
                </c:pt>
                <c:pt idx="276">
                  <c:v>8750</c:v>
                </c:pt>
                <c:pt idx="277">
                  <c:v>31950</c:v>
                </c:pt>
                <c:pt idx="278">
                  <c:v>21000</c:v>
                </c:pt>
                <c:pt idx="279">
                  <c:v>5060</c:v>
                </c:pt>
                <c:pt idx="280">
                  <c:v>14400</c:v>
                </c:pt>
                <c:pt idx="281">
                  <c:v>17250</c:v>
                </c:pt>
                <c:pt idx="282">
                  <c:v>29700</c:v>
                </c:pt>
                <c:pt idx="283">
                  <c:v>16800</c:v>
                </c:pt>
                <c:pt idx="284">
                  <c:v>7700</c:v>
                </c:pt>
                <c:pt idx="285">
                  <c:v>24000</c:v>
                </c:pt>
                <c:pt idx="286">
                  <c:v>8500</c:v>
                </c:pt>
                <c:pt idx="287">
                  <c:v>13500</c:v>
                </c:pt>
                <c:pt idx="288">
                  <c:v>30100</c:v>
                </c:pt>
                <c:pt idx="289">
                  <c:v>9900</c:v>
                </c:pt>
                <c:pt idx="290">
                  <c:v>9750</c:v>
                </c:pt>
                <c:pt idx="291">
                  <c:v>13500</c:v>
                </c:pt>
                <c:pt idx="292">
                  <c:v>49000</c:v>
                </c:pt>
                <c:pt idx="293">
                  <c:v>16720</c:v>
                </c:pt>
                <c:pt idx="294">
                  <c:v>20700</c:v>
                </c:pt>
                <c:pt idx="295">
                  <c:v>9500</c:v>
                </c:pt>
                <c:pt idx="296">
                  <c:v>19800</c:v>
                </c:pt>
                <c:pt idx="297">
                  <c:v>31500</c:v>
                </c:pt>
                <c:pt idx="298">
                  <c:v>14300</c:v>
                </c:pt>
                <c:pt idx="299">
                  <c:v>9000</c:v>
                </c:pt>
                <c:pt idx="300">
                  <c:v>13250</c:v>
                </c:pt>
                <c:pt idx="301">
                  <c:v>34650</c:v>
                </c:pt>
                <c:pt idx="302">
                  <c:v>44800</c:v>
                </c:pt>
                <c:pt idx="303">
                  <c:v>5280</c:v>
                </c:pt>
                <c:pt idx="304">
                  <c:v>22200</c:v>
                </c:pt>
                <c:pt idx="305">
                  <c:v>9000</c:v>
                </c:pt>
                <c:pt idx="306">
                  <c:v>22500</c:v>
                </c:pt>
                <c:pt idx="307">
                  <c:v>49000</c:v>
                </c:pt>
                <c:pt idx="308">
                  <c:v>16500</c:v>
                </c:pt>
                <c:pt idx="309">
                  <c:v>15300</c:v>
                </c:pt>
                <c:pt idx="310">
                  <c:v>10000</c:v>
                </c:pt>
                <c:pt idx="311">
                  <c:v>16200</c:v>
                </c:pt>
                <c:pt idx="312">
                  <c:v>40600</c:v>
                </c:pt>
                <c:pt idx="313">
                  <c:v>8140</c:v>
                </c:pt>
                <c:pt idx="314">
                  <c:v>15600</c:v>
                </c:pt>
                <c:pt idx="315">
                  <c:v>5000</c:v>
                </c:pt>
                <c:pt idx="316">
                  <c:v>10350</c:v>
                </c:pt>
                <c:pt idx="317">
                  <c:v>39900</c:v>
                </c:pt>
                <c:pt idx="318">
                  <c:v>9900</c:v>
                </c:pt>
                <c:pt idx="319">
                  <c:v>17700</c:v>
                </c:pt>
                <c:pt idx="320">
                  <c:v>5250</c:v>
                </c:pt>
                <c:pt idx="321">
                  <c:v>22500</c:v>
                </c:pt>
                <c:pt idx="322">
                  <c:v>29400</c:v>
                </c:pt>
                <c:pt idx="323">
                  <c:v>4620</c:v>
                </c:pt>
                <c:pt idx="324">
                  <c:v>8700</c:v>
                </c:pt>
                <c:pt idx="325">
                  <c:v>8250</c:v>
                </c:pt>
                <c:pt idx="326">
                  <c:v>26550</c:v>
                </c:pt>
                <c:pt idx="327">
                  <c:v>14700</c:v>
                </c:pt>
                <c:pt idx="328">
                  <c:v>9020</c:v>
                </c:pt>
                <c:pt idx="329">
                  <c:v>12600</c:v>
                </c:pt>
                <c:pt idx="330">
                  <c:v>15750</c:v>
                </c:pt>
                <c:pt idx="331">
                  <c:v>11700</c:v>
                </c:pt>
                <c:pt idx="332">
                  <c:v>44100</c:v>
                </c:pt>
                <c:pt idx="333">
                  <c:v>12100</c:v>
                </c:pt>
                <c:pt idx="334">
                  <c:v>18600</c:v>
                </c:pt>
                <c:pt idx="335">
                  <c:v>15000</c:v>
                </c:pt>
                <c:pt idx="336">
                  <c:v>16650</c:v>
                </c:pt>
                <c:pt idx="337">
                  <c:v>39900</c:v>
                </c:pt>
                <c:pt idx="338">
                  <c:v>9680</c:v>
                </c:pt>
                <c:pt idx="339">
                  <c:v>22200</c:v>
                </c:pt>
                <c:pt idx="340">
                  <c:v>17250</c:v>
                </c:pt>
                <c:pt idx="341">
                  <c:v>15750</c:v>
                </c:pt>
                <c:pt idx="342">
                  <c:v>46200</c:v>
                </c:pt>
                <c:pt idx="343">
                  <c:v>13200</c:v>
                </c:pt>
                <c:pt idx="344">
                  <c:v>9300</c:v>
                </c:pt>
                <c:pt idx="345">
                  <c:v>15750</c:v>
                </c:pt>
                <c:pt idx="346">
                  <c:v>32850</c:v>
                </c:pt>
                <c:pt idx="347">
                  <c:v>16800</c:v>
                </c:pt>
                <c:pt idx="348">
                  <c:v>17600</c:v>
                </c:pt>
                <c:pt idx="349">
                  <c:v>17700</c:v>
                </c:pt>
                <c:pt idx="350">
                  <c:v>15750</c:v>
                </c:pt>
                <c:pt idx="351">
                  <c:v>13050</c:v>
                </c:pt>
                <c:pt idx="352">
                  <c:v>19600</c:v>
                </c:pt>
                <c:pt idx="353">
                  <c:v>16940</c:v>
                </c:pt>
                <c:pt idx="354">
                  <c:v>21000</c:v>
                </c:pt>
                <c:pt idx="355">
                  <c:v>9000</c:v>
                </c:pt>
                <c:pt idx="356">
                  <c:v>32400</c:v>
                </c:pt>
                <c:pt idx="357">
                  <c:v>25900</c:v>
                </c:pt>
                <c:pt idx="358">
                  <c:v>8800</c:v>
                </c:pt>
                <c:pt idx="359">
                  <c:v>21600</c:v>
                </c:pt>
                <c:pt idx="360">
                  <c:v>11250</c:v>
                </c:pt>
                <c:pt idx="361">
                  <c:v>12150</c:v>
                </c:pt>
                <c:pt idx="362">
                  <c:v>34300</c:v>
                </c:pt>
                <c:pt idx="363">
                  <c:v>4400</c:v>
                </c:pt>
                <c:pt idx="364">
                  <c:v>21000</c:v>
                </c:pt>
                <c:pt idx="365">
                  <c:v>18000</c:v>
                </c:pt>
                <c:pt idx="366">
                  <c:v>17550</c:v>
                </c:pt>
                <c:pt idx="367">
                  <c:v>28700</c:v>
                </c:pt>
                <c:pt idx="368">
                  <c:v>11220</c:v>
                </c:pt>
                <c:pt idx="369">
                  <c:v>15000</c:v>
                </c:pt>
                <c:pt idx="370">
                  <c:v>17250</c:v>
                </c:pt>
                <c:pt idx="371">
                  <c:v>22050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2E8-48F8-4CC8-A9CF-32272F0B3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26430"/>
        <c:axId val="8983385"/>
      </c:scatterChart>
      <c:valAx>
        <c:axId val="215264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983385"/>
        <c:crosses val="autoZero"/>
        <c:crossBetween val="midCat"/>
      </c:valAx>
      <c:valAx>
        <c:axId val="89833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Monto de venta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52643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4</xdr:col>
      <xdr:colOff>479160</xdr:colOff>
      <xdr:row>51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38</xdr:row>
      <xdr:rowOff>0</xdr:rowOff>
    </xdr:from>
    <xdr:to>
      <xdr:col>9</xdr:col>
      <xdr:colOff>719280</xdr:colOff>
      <xdr:row>51</xdr:row>
      <xdr:rowOff>43200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53</xdr:row>
      <xdr:rowOff>0</xdr:rowOff>
    </xdr:from>
    <xdr:to>
      <xdr:col>4</xdr:col>
      <xdr:colOff>839160</xdr:colOff>
      <xdr:row>68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374" totalsRowCount="1">
  <autoFilter ref="A1:K373" xr:uid="{00000000-0009-0000-0100-000001000000}"/>
  <tableColumns count="11">
    <tableColumn id="1" xr3:uid="{00000000-0010-0000-0000-000001000000}" name="ID_VENTAS" totalsRowLabel="Total"/>
    <tableColumn id="2" xr3:uid="{00000000-0010-0000-0000-000002000000}" name="FECHA"/>
    <tableColumn id="3" xr3:uid="{00000000-0010-0000-0000-000003000000}" name="ID_CLIENTES"/>
    <tableColumn id="4" xr3:uid="{00000000-0010-0000-0000-000004000000}" name="ID_PRODUCTOS"/>
    <tableColumn id="5" xr3:uid="{00000000-0010-0000-0000-000005000000}" name="CANTIDAD"/>
    <tableColumn id="6" xr3:uid="{00000000-0010-0000-0000-000006000000}" name="PRECIO"/>
    <tableColumn id="7" xr3:uid="{00000000-0010-0000-0000-000007000000}" name="MONTO COMPRA" totalsRowFunction="sum"/>
    <tableColumn id="8" xr3:uid="{00000000-0010-0000-0000-000008000000}" name="PRODUCTO"/>
    <tableColumn id="9" xr3:uid="{00000000-0010-0000-0000-000009000000}" name="CATEGORIA"/>
    <tableColumn id="10" xr3:uid="{00000000-0010-0000-0000-00000A000000}" name="CLIENTE"/>
    <tableColumn id="11" xr3:uid="{00000000-0010-0000-0000-00000B000000}" name="REGION" totalsRowFunction="cou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8"/>
  <sheetViews>
    <sheetView showGridLines="0" tabSelected="1" zoomScale="85" zoomScaleNormal="85" workbookViewId="0">
      <selection activeCell="H28" sqref="H28:M28"/>
    </sheetView>
  </sheetViews>
  <sheetFormatPr baseColWidth="10" defaultColWidth="9.140625" defaultRowHeight="15" customHeight="1" x14ac:dyDescent="0.25"/>
  <cols>
    <col min="1" max="1" width="3" customWidth="1"/>
    <col min="2" max="6" width="16" customWidth="1"/>
    <col min="7" max="7" width="3" customWidth="1"/>
    <col min="8" max="13" width="18" customWidth="1"/>
  </cols>
  <sheetData>
    <row r="2" spans="2:13" ht="33.75" customHeight="1" x14ac:dyDescent="0.4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2:13" x14ac:dyDescent="0.25">
      <c r="B3" s="9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2:13" x14ac:dyDescent="0.25">
      <c r="B5" s="11" t="s">
        <v>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2:13" x14ac:dyDescent="0.25">
      <c r="B6" s="13" t="s">
        <v>3</v>
      </c>
      <c r="E6" s="13" t="s">
        <v>4</v>
      </c>
      <c r="H6" s="13" t="s">
        <v>5</v>
      </c>
      <c r="K6" s="8"/>
      <c r="L6" s="8"/>
      <c r="M6" s="8"/>
    </row>
    <row r="7" spans="2:13" x14ac:dyDescent="0.25">
      <c r="B7" s="14" t="s">
        <v>7</v>
      </c>
      <c r="E7" s="14" t="s">
        <v>7</v>
      </c>
      <c r="H7" s="14" t="s">
        <v>7</v>
      </c>
      <c r="K7" s="8"/>
      <c r="L7" s="8"/>
      <c r="M7" s="8"/>
    </row>
    <row r="9" spans="2:13" x14ac:dyDescent="0.25">
      <c r="B9" s="7" t="s">
        <v>8</v>
      </c>
      <c r="C9" s="7"/>
      <c r="D9" s="7"/>
      <c r="E9" s="7" t="s">
        <v>9</v>
      </c>
      <c r="F9" s="7"/>
      <c r="G9" s="7"/>
      <c r="H9" s="7" t="s">
        <v>10</v>
      </c>
      <c r="I9" s="7"/>
      <c r="J9" s="7"/>
      <c r="K9" s="7" t="s">
        <v>11</v>
      </c>
      <c r="L9" s="7"/>
      <c r="M9" s="7"/>
    </row>
    <row r="10" spans="2:13" x14ac:dyDescent="0.25">
      <c r="B10" s="6">
        <f>SUMPRODUCT(Datos_Ventas!$G$2:$G$373*--(((Datos_Ventas!$L$2:$L$373=$B$7)+($B$7="Todos"))&gt;0)*--(((Datos_Ventas!$I$2:$I$373=$E$7)+($E$7="Todos"))&gt;0)*--(((Datos_Ventas!$K$2:$K$373=$H$7)+($H$7="Todos"))&gt;0))</f>
        <v>7084460</v>
      </c>
      <c r="C10" s="6"/>
      <c r="D10" s="6"/>
      <c r="E10" s="5">
        <f>SUMPRODUCT(Datos_Ventas!$E$2:$E$373*--(((Datos_Ventas!$L$2:$L$373=$B$7)+($B$7="Todos"))&gt;0)*--(((Datos_Ventas!$I$2:$I$373=$E$7)+($E$7="Todos"))&gt;0)*--(((Datos_Ventas!$K$2:$K$373=$H$7)+($H$7="Todos"))&gt;0))</f>
        <v>18467</v>
      </c>
      <c r="F10" s="5"/>
      <c r="G10" s="5"/>
      <c r="H10" s="6">
        <f>IFERROR(B10/E10,0)</f>
        <v>383.62809335571558</v>
      </c>
      <c r="I10" s="6"/>
      <c r="J10" s="6"/>
      <c r="K10" s="4">
        <f>IFERROR(SUMPRODUCT(Datos_Ventas!$G$2:$G$373*--(Datos_Ventas!$L$2:$L$373=2026)*--(((Datos_Ventas!$I$2:$I$373=$E$7)+($E$7="Todos"))&gt;0)*--(((Datos_Ventas!$K$2:$K$373=$H$7)+($H$7="Todos"))&gt;0))/SUMPRODUCT(Datos_Ventas!$G$2:$G$373*--(Datos_Ventas!$L$2:$L$373=2025)*--(((Datos_Ventas!$I$2:$I$373=$E$7)+($E$7="Todos"))&gt;0)*--(((Datos_Ventas!$K$2:$K$373=$H$7)+($H$7="Todos"))&gt;0))-1,0)</f>
        <v>1.1111218458241479</v>
      </c>
      <c r="L10" s="4"/>
      <c r="M10" s="4"/>
    </row>
    <row r="11" spans="2:13" x14ac:dyDescent="0.25">
      <c r="B11" s="6"/>
      <c r="C11" s="6"/>
      <c r="D11" s="6"/>
      <c r="E11" s="5"/>
      <c r="F11" s="5"/>
      <c r="G11" s="5"/>
      <c r="H11" s="6"/>
      <c r="I11" s="6"/>
      <c r="J11" s="6"/>
      <c r="K11" s="4"/>
      <c r="L11" s="4"/>
      <c r="M11" s="4"/>
    </row>
    <row r="13" spans="2:13" x14ac:dyDescent="0.25">
      <c r="B13" s="3" t="s">
        <v>12</v>
      </c>
      <c r="C13" s="3"/>
      <c r="D13" s="3"/>
      <c r="E13" s="3"/>
      <c r="F13" s="3"/>
      <c r="G13" s="3"/>
      <c r="H13" s="3" t="s">
        <v>13</v>
      </c>
      <c r="I13" s="3"/>
      <c r="J13" s="3"/>
      <c r="K13" s="3"/>
      <c r="L13" s="3"/>
      <c r="M13" s="3"/>
    </row>
    <row r="14" spans="2:13" x14ac:dyDescent="0.25">
      <c r="B14" s="13" t="s">
        <v>14</v>
      </c>
      <c r="C14" s="13" t="s">
        <v>15</v>
      </c>
      <c r="H14" s="13" t="s">
        <v>4</v>
      </c>
      <c r="I14" s="13" t="s">
        <v>15</v>
      </c>
    </row>
    <row r="15" spans="2:13" x14ac:dyDescent="0.25">
      <c r="B15" t="s">
        <v>16</v>
      </c>
      <c r="C15" s="15">
        <f>SUMPRODUCT(Datos_Ventas!$G$2:$G$373*--(Datos_Ventas!$M$2:$M$373=1)*--(((Datos_Ventas!$L$2:$L$373=$B$7)+($B$7="Todos"))&gt;0)*--(((Datos_Ventas!$I$2:$I$373=$E$7)+($E$7="Todos"))&gt;0)*--(((Datos_Ventas!$K$2:$K$373=$H$7)+($H$7="Todos"))&gt;0))</f>
        <v>1102660</v>
      </c>
      <c r="H15" t="s">
        <v>17</v>
      </c>
      <c r="I15" s="15">
        <f>SUMPRODUCT(Datos_Ventas!$G$2:$G$373*--(Datos_Ventas!$I$2:$I$373=H15)*--(((Datos_Ventas!$L$2:$L$373=$B$7)+($B$7="Todos"))&gt;0)*--(((Datos_Ventas!$I$2:$I$373=$E$7)+($E$7="Todos"))&gt;0)*--(((Datos_Ventas!$K$2:$K$373=$H$7)+($H$7="Todos"))&gt;0))</f>
        <v>2024550</v>
      </c>
    </row>
    <row r="16" spans="2:13" x14ac:dyDescent="0.25">
      <c r="B16" t="s">
        <v>18</v>
      </c>
      <c r="C16" s="15">
        <f>SUMPRODUCT(Datos_Ventas!$G$2:$G$373*--(Datos_Ventas!$M$2:$M$373=2)*--(((Datos_Ventas!$L$2:$L$373=$B$7)+($B$7="Todos"))&gt;0)*--(((Datos_Ventas!$I$2:$I$373=$E$7)+($E$7="Todos"))&gt;0)*--(((Datos_Ventas!$K$2:$K$373=$H$7)+($H$7="Todos"))&gt;0))</f>
        <v>1137180</v>
      </c>
      <c r="H16" t="s">
        <v>19</v>
      </c>
      <c r="I16" s="15">
        <f>SUMPRODUCT(Datos_Ventas!$G$2:$G$373*--(Datos_Ventas!$I$2:$I$373=H16)*--(((Datos_Ventas!$L$2:$L$373=$B$7)+($B$7="Todos"))&gt;0)*--(((Datos_Ventas!$I$2:$I$373=$E$7)+($E$7="Todos"))&gt;0)*--(((Datos_Ventas!$K$2:$K$373=$H$7)+($H$7="Todos"))&gt;0))</f>
        <v>1714050</v>
      </c>
    </row>
    <row r="17" spans="2:13" x14ac:dyDescent="0.25">
      <c r="B17" t="s">
        <v>20</v>
      </c>
      <c r="C17" s="15">
        <f>SUMPRODUCT(Datos_Ventas!$G$2:$G$373*--(Datos_Ventas!$M$2:$M$373=3)*--(((Datos_Ventas!$L$2:$L$373=$B$7)+($B$7="Todos"))&gt;0)*--(((Datos_Ventas!$I$2:$I$373=$E$7)+($E$7="Todos"))&gt;0)*--(((Datos_Ventas!$K$2:$K$373=$H$7)+($H$7="Todos"))&gt;0))</f>
        <v>1085060</v>
      </c>
      <c r="H17" t="s">
        <v>6</v>
      </c>
      <c r="I17" s="15">
        <f>SUMPRODUCT(Datos_Ventas!$G$2:$G$373*--(Datos_Ventas!$I$2:$I$373=H17)*--(((Datos_Ventas!$L$2:$L$373=$B$7)+($B$7="Todos"))&gt;0)*--(((Datos_Ventas!$I$2:$I$373=$E$7)+($E$7="Todos"))&gt;0)*--(((Datos_Ventas!$K$2:$K$373=$H$7)+($H$7="Todos"))&gt;0))</f>
        <v>3345860</v>
      </c>
    </row>
    <row r="18" spans="2:13" x14ac:dyDescent="0.25">
      <c r="B18" t="s">
        <v>21</v>
      </c>
      <c r="C18" s="15">
        <f>SUMPRODUCT(Datos_Ventas!$G$2:$G$373*--(Datos_Ventas!$M$2:$M$373=4)*--(((Datos_Ventas!$L$2:$L$373=$B$7)+($B$7="Todos"))&gt;0)*--(((Datos_Ventas!$I$2:$I$373=$E$7)+($E$7="Todos"))&gt;0)*--(((Datos_Ventas!$K$2:$K$373=$H$7)+($H$7="Todos"))&gt;0))</f>
        <v>1164600</v>
      </c>
    </row>
    <row r="19" spans="2:13" x14ac:dyDescent="0.25">
      <c r="B19" t="s">
        <v>22</v>
      </c>
      <c r="C19" s="15">
        <f>SUMPRODUCT(Datos_Ventas!$G$2:$G$373*--(Datos_Ventas!$M$2:$M$373=5)*--(((Datos_Ventas!$L$2:$L$373=$B$7)+($B$7="Todos"))&gt;0)*--(((Datos_Ventas!$I$2:$I$373=$E$7)+($E$7="Todos"))&gt;0)*--(((Datos_Ventas!$K$2:$K$373=$H$7)+($H$7="Todos"))&gt;0))</f>
        <v>744830</v>
      </c>
    </row>
    <row r="20" spans="2:13" x14ac:dyDescent="0.25">
      <c r="B20" t="s">
        <v>23</v>
      </c>
      <c r="C20" s="15">
        <f>SUMPRODUCT(Datos_Ventas!$G$2:$G$373*--(Datos_Ventas!$M$2:$M$373=6)*--(((Datos_Ventas!$L$2:$L$373=$B$7)+($B$7="Todos"))&gt;0)*--(((Datos_Ventas!$I$2:$I$373=$E$7)+($E$7="Todos"))&gt;0)*--(((Datos_Ventas!$K$2:$K$373=$H$7)+($H$7="Todos"))&gt;0))</f>
        <v>631710</v>
      </c>
    </row>
    <row r="21" spans="2:13" x14ac:dyDescent="0.25">
      <c r="B21" t="s">
        <v>24</v>
      </c>
      <c r="C21" s="15">
        <f>SUMPRODUCT(Datos_Ventas!$G$2:$G$373*--(Datos_Ventas!$M$2:$M$373=7)*--(((Datos_Ventas!$L$2:$L$373=$B$7)+($B$7="Todos"))&gt;0)*--(((Datos_Ventas!$I$2:$I$373=$E$7)+($E$7="Todos"))&gt;0)*--(((Datos_Ventas!$K$2:$K$373=$H$7)+($H$7="Todos"))&gt;0))</f>
        <v>551570</v>
      </c>
    </row>
    <row r="22" spans="2:13" x14ac:dyDescent="0.25">
      <c r="B22" t="s">
        <v>25</v>
      </c>
      <c r="C22" s="15">
        <f>SUMPRODUCT(Datos_Ventas!$G$2:$G$373*--(Datos_Ventas!$M$2:$M$373=8)*--(((Datos_Ventas!$L$2:$L$373=$B$7)+($B$7="Todos"))&gt;0)*--(((Datos_Ventas!$I$2:$I$373=$E$7)+($E$7="Todos"))&gt;0)*--(((Datos_Ventas!$K$2:$K$373=$H$7)+($H$7="Todos"))&gt;0))</f>
        <v>666850</v>
      </c>
    </row>
    <row r="23" spans="2:13" x14ac:dyDescent="0.25">
      <c r="B23" t="s">
        <v>26</v>
      </c>
      <c r="C23" s="15">
        <f>SUMPRODUCT(Datos_Ventas!$G$2:$G$373*--(Datos_Ventas!$M$2:$M$373=9)*--(((Datos_Ventas!$L$2:$L$373=$B$7)+($B$7="Todos"))&gt;0)*--(((Datos_Ventas!$I$2:$I$373=$E$7)+($E$7="Todos"))&gt;0)*--(((Datos_Ventas!$K$2:$K$373=$H$7)+($H$7="Todos"))&gt;0))</f>
        <v>0</v>
      </c>
    </row>
    <row r="24" spans="2:13" x14ac:dyDescent="0.25">
      <c r="B24" t="s">
        <v>27</v>
      </c>
      <c r="C24" s="15">
        <f>SUMPRODUCT(Datos_Ventas!$G$2:$G$373*--(Datos_Ventas!$M$2:$M$373=10)*--(((Datos_Ventas!$L$2:$L$373=$B$7)+($B$7="Todos"))&gt;0)*--(((Datos_Ventas!$I$2:$I$373=$E$7)+($E$7="Todos"))&gt;0)*--(((Datos_Ventas!$K$2:$K$373=$H$7)+($H$7="Todos"))&gt;0))</f>
        <v>0</v>
      </c>
    </row>
    <row r="25" spans="2:13" x14ac:dyDescent="0.25">
      <c r="B25" t="s">
        <v>28</v>
      </c>
      <c r="C25" s="15">
        <f>SUMPRODUCT(Datos_Ventas!$G$2:$G$373*--(Datos_Ventas!$M$2:$M$373=11)*--(((Datos_Ventas!$L$2:$L$373=$B$7)+($B$7="Todos"))&gt;0)*--(((Datos_Ventas!$I$2:$I$373=$E$7)+($E$7="Todos"))&gt;0)*--(((Datos_Ventas!$K$2:$K$373=$H$7)+($H$7="Todos"))&gt;0))</f>
        <v>0</v>
      </c>
    </row>
    <row r="26" spans="2:13" x14ac:dyDescent="0.25">
      <c r="B26" t="s">
        <v>29</v>
      </c>
      <c r="C26" s="15">
        <f>SUMPRODUCT(Datos_Ventas!$G$2:$G$373*--(Datos_Ventas!$M$2:$M$373=12)*--(((Datos_Ventas!$L$2:$L$373=$B$7)+($B$7="Todos"))&gt;0)*--(((Datos_Ventas!$I$2:$I$373=$E$7)+($E$7="Todos"))&gt;0)*--(((Datos_Ventas!$K$2:$K$373=$H$7)+($H$7="Todos"))&gt;0))</f>
        <v>0</v>
      </c>
    </row>
    <row r="28" spans="2:13" x14ac:dyDescent="0.25">
      <c r="B28" s="3" t="s">
        <v>30</v>
      </c>
      <c r="C28" s="3"/>
      <c r="D28" s="3"/>
      <c r="E28" s="3"/>
      <c r="F28" s="3"/>
      <c r="H28" s="3" t="s">
        <v>31</v>
      </c>
      <c r="I28" s="3"/>
      <c r="J28" s="3"/>
      <c r="K28" s="3"/>
      <c r="L28" s="3"/>
      <c r="M28" s="3"/>
    </row>
    <row r="29" spans="2:13" ht="15" customHeight="1" x14ac:dyDescent="0.25">
      <c r="B29" s="13" t="s">
        <v>5</v>
      </c>
      <c r="C29" s="13" t="s">
        <v>15</v>
      </c>
      <c r="H29" s="2" t="s">
        <v>32</v>
      </c>
      <c r="I29" s="2"/>
      <c r="J29" s="2"/>
      <c r="K29" s="2"/>
      <c r="L29" s="2"/>
      <c r="M29" s="2"/>
    </row>
    <row r="30" spans="2:13" x14ac:dyDescent="0.25">
      <c r="B30" t="s">
        <v>33</v>
      </c>
      <c r="C30" s="15">
        <f>SUMPRODUCT(Datos_Ventas!$G$2:$G$373*--(Datos_Ventas!$K$2:$K$373=B30)*--(((Datos_Ventas!$L$2:$L$373=$B$7)+($B$7="Todos"))&gt;0)*--(((Datos_Ventas!$I$2:$I$373=$E$7)+($E$7="Todos"))&gt;0)*--(((Datos_Ventas!$K$2:$K$373=$H$7)+($H$7="Todos"))&gt;0))</f>
        <v>1439660</v>
      </c>
      <c r="H30" s="2"/>
      <c r="I30" s="2"/>
      <c r="J30" s="2"/>
      <c r="K30" s="2"/>
      <c r="L30" s="2"/>
      <c r="M30" s="2"/>
    </row>
    <row r="31" spans="2:13" x14ac:dyDescent="0.25">
      <c r="B31" t="s">
        <v>34</v>
      </c>
      <c r="C31" s="15">
        <f>SUMPRODUCT(Datos_Ventas!$G$2:$G$373*--(Datos_Ventas!$K$2:$K$373=B31)*--(((Datos_Ventas!$L$2:$L$373=$B$7)+($B$7="Todos"))&gt;0)*--(((Datos_Ventas!$I$2:$I$373=$E$7)+($E$7="Todos"))&gt;0)*--(((Datos_Ventas!$K$2:$K$373=$H$7)+($H$7="Todos"))&gt;0))</f>
        <v>3235890</v>
      </c>
      <c r="H31" s="2"/>
      <c r="I31" s="2"/>
      <c r="J31" s="2"/>
      <c r="K31" s="2"/>
      <c r="L31" s="2"/>
      <c r="M31" s="2"/>
    </row>
    <row r="32" spans="2:13" x14ac:dyDescent="0.25">
      <c r="B32" t="s">
        <v>35</v>
      </c>
      <c r="C32" s="15">
        <f>SUMPRODUCT(Datos_Ventas!$G$2:$G$373*--(Datos_Ventas!$K$2:$K$373=B32)*--(((Datos_Ventas!$L$2:$L$373=$B$7)+($B$7="Todos"))&gt;0)*--(((Datos_Ventas!$I$2:$I$373=$E$7)+($E$7="Todos"))&gt;0)*--(((Datos_Ventas!$K$2:$K$373=$H$7)+($H$7="Todos"))&gt;0))</f>
        <v>839210</v>
      </c>
      <c r="H32" s="2"/>
      <c r="I32" s="2"/>
      <c r="J32" s="2"/>
      <c r="K32" s="2"/>
      <c r="L32" s="2"/>
      <c r="M32" s="2"/>
    </row>
    <row r="33" spans="2:13" x14ac:dyDescent="0.25">
      <c r="B33" t="s">
        <v>36</v>
      </c>
      <c r="C33" s="15">
        <f>SUMPRODUCT(Datos_Ventas!$G$2:$G$373*--(Datos_Ventas!$K$2:$K$373=B33)*--(((Datos_Ventas!$L$2:$L$373=$B$7)+($B$7="Todos"))&gt;0)*--(((Datos_Ventas!$I$2:$I$373=$E$7)+($E$7="Todos"))&gt;0)*--(((Datos_Ventas!$K$2:$K$373=$H$7)+($H$7="Todos"))&gt;0))</f>
        <v>1569700</v>
      </c>
      <c r="H33" s="2"/>
      <c r="I33" s="2"/>
      <c r="J33" s="2"/>
      <c r="K33" s="2"/>
      <c r="L33" s="2"/>
      <c r="M33" s="2"/>
    </row>
    <row r="34" spans="2:13" x14ac:dyDescent="0.25">
      <c r="C34" s="15"/>
    </row>
    <row r="35" spans="2:13" x14ac:dyDescent="0.25">
      <c r="C35" s="15"/>
    </row>
    <row r="36" spans="2:13" x14ac:dyDescent="0.25">
      <c r="B36" s="1" t="str">
        <f>"Lectura filtrada: Año = "&amp;B7&amp;" | Categoría = "&amp;E7&amp;" | Región = "&amp;H7</f>
        <v>Lectura filtrada: Año = Todos | Categoría = Todos | Región = Todos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54" spans="8:13" ht="15" customHeight="1" x14ac:dyDescent="0.25">
      <c r="H54" s="20"/>
      <c r="I54" s="20"/>
      <c r="J54" s="20"/>
      <c r="K54" s="20"/>
      <c r="L54" s="20"/>
      <c r="M54" s="20"/>
    </row>
    <row r="55" spans="8:13" x14ac:dyDescent="0.25">
      <c r="H55" s="20"/>
      <c r="I55" s="20"/>
      <c r="J55" s="20"/>
      <c r="K55" s="20"/>
      <c r="L55" s="20"/>
      <c r="M55" s="20"/>
    </row>
    <row r="56" spans="8:13" x14ac:dyDescent="0.25">
      <c r="H56" s="20"/>
      <c r="I56" s="20"/>
      <c r="J56" s="20"/>
      <c r="K56" s="20"/>
      <c r="L56" s="20"/>
      <c r="M56" s="20"/>
    </row>
    <row r="57" spans="8:13" x14ac:dyDescent="0.25">
      <c r="H57" s="20"/>
      <c r="I57" s="20"/>
      <c r="J57" s="20"/>
      <c r="K57" s="20"/>
      <c r="L57" s="20"/>
      <c r="M57" s="20"/>
    </row>
    <row r="58" spans="8:13" x14ac:dyDescent="0.25">
      <c r="H58" s="20"/>
      <c r="I58" s="20"/>
      <c r="J58" s="20"/>
      <c r="K58" s="20"/>
      <c r="L58" s="20"/>
      <c r="M58" s="20"/>
    </row>
  </sheetData>
  <mergeCells count="18">
    <mergeCell ref="B28:F28"/>
    <mergeCell ref="H28:M28"/>
    <mergeCell ref="H29:M33"/>
    <mergeCell ref="B36:M37"/>
    <mergeCell ref="H54:M58"/>
    <mergeCell ref="B10:D11"/>
    <mergeCell ref="E10:G11"/>
    <mergeCell ref="H10:J11"/>
    <mergeCell ref="K10:M11"/>
    <mergeCell ref="B13:G13"/>
    <mergeCell ref="H13:M13"/>
    <mergeCell ref="B2:M2"/>
    <mergeCell ref="B3:M3"/>
    <mergeCell ref="K6:M7"/>
    <mergeCell ref="B9:D9"/>
    <mergeCell ref="E9:G9"/>
    <mergeCell ref="H9:J9"/>
    <mergeCell ref="K9:M9"/>
  </mergeCells>
  <conditionalFormatting sqref="H10">
    <cfRule type="cellIs" dxfId="3" priority="2" operator="greaterThanOrEqual">
      <formula>19000</formula>
    </cfRule>
    <cfRule type="cellIs" dxfId="2" priority="3" operator="lessThan">
      <formula>19000</formula>
    </cfRule>
  </conditionalFormatting>
  <conditionalFormatting sqref="K10">
    <cfRule type="cellIs" dxfId="1" priority="4" operator="greaterThanOrEqual">
      <formula>0</formula>
    </cfRule>
    <cfRule type="cellIs" dxfId="0" priority="5" operator="lessThan">
      <formula>0</formula>
    </cfRule>
  </conditionalFormatting>
  <dataValidations count="3">
    <dataValidation type="list" sqref="B7" xr:uid="{00000000-0002-0000-0000-000000000000}">
      <formula1>"Todos,2025,2026"</formula1>
      <formula2>0</formula2>
    </dataValidation>
    <dataValidation type="list" sqref="E7" xr:uid="{00000000-0002-0000-0000-000001000000}">
      <formula1>"Todos,Cereales,Frutas Deshidratadas,Frutos Secos"</formula1>
      <formula2>0</formula2>
    </dataValidation>
    <dataValidation type="list" sqref="H7" xr:uid="{00000000-0002-0000-0000-000002000000}">
      <formula1>"Todos,Este,Norte,Oeste,Sur"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4"/>
  <sheetViews>
    <sheetView zoomScaleNormal="100" workbookViewId="0">
      <pane ySplit="1" topLeftCell="A367" activePane="bottomLeft" state="frozen"/>
      <selection pane="bottomLeft" activeCell="G385" sqref="G385"/>
    </sheetView>
  </sheetViews>
  <sheetFormatPr baseColWidth="10" defaultColWidth="10.5703125" defaultRowHeight="15" customHeight="1" x14ac:dyDescent="0.25"/>
  <cols>
    <col min="1" max="3" width="16" customWidth="1"/>
    <col min="4" max="4" width="17.5703125" customWidth="1"/>
    <col min="5" max="6" width="16" customWidth="1"/>
    <col min="7" max="7" width="18.42578125" customWidth="1"/>
    <col min="8" max="11" width="16" customWidth="1"/>
    <col min="12" max="13" width="13" hidden="1" customWidth="1"/>
  </cols>
  <sheetData>
    <row r="1" spans="1:13" x14ac:dyDescent="0.25">
      <c r="A1" s="11" t="s">
        <v>37</v>
      </c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t="s">
        <v>48</v>
      </c>
      <c r="M1" t="s">
        <v>49</v>
      </c>
    </row>
    <row r="2" spans="1:13" x14ac:dyDescent="0.25">
      <c r="A2" t="s">
        <v>50</v>
      </c>
      <c r="B2" s="16">
        <v>46143</v>
      </c>
      <c r="C2" t="s">
        <v>51</v>
      </c>
      <c r="D2" t="s">
        <v>52</v>
      </c>
      <c r="E2">
        <v>73</v>
      </c>
      <c r="F2">
        <v>220</v>
      </c>
      <c r="G2">
        <v>16060</v>
      </c>
      <c r="H2" t="s">
        <v>53</v>
      </c>
      <c r="I2" t="s">
        <v>6</v>
      </c>
      <c r="J2" t="s">
        <v>54</v>
      </c>
      <c r="K2" t="s">
        <v>33</v>
      </c>
      <c r="L2">
        <f t="shared" ref="L2:L65" si="0">YEAR(B2)</f>
        <v>2026</v>
      </c>
      <c r="M2">
        <f t="shared" ref="M2:M65" si="1">MONTH(B2)</f>
        <v>5</v>
      </c>
    </row>
    <row r="3" spans="1:13" x14ac:dyDescent="0.25">
      <c r="A3" t="s">
        <v>55</v>
      </c>
      <c r="B3" s="16">
        <v>46144</v>
      </c>
      <c r="C3" t="s">
        <v>56</v>
      </c>
      <c r="D3" t="s">
        <v>57</v>
      </c>
      <c r="E3">
        <v>65</v>
      </c>
      <c r="F3">
        <v>300</v>
      </c>
      <c r="G3">
        <v>19500</v>
      </c>
      <c r="H3" t="s">
        <v>58</v>
      </c>
      <c r="I3" t="s">
        <v>17</v>
      </c>
      <c r="J3" t="s">
        <v>59</v>
      </c>
      <c r="K3" t="s">
        <v>36</v>
      </c>
      <c r="L3">
        <f t="shared" si="0"/>
        <v>2026</v>
      </c>
      <c r="M3">
        <f t="shared" si="1"/>
        <v>5</v>
      </c>
    </row>
    <row r="4" spans="1:13" x14ac:dyDescent="0.25">
      <c r="A4" t="s">
        <v>60</v>
      </c>
      <c r="B4" s="16">
        <v>46145</v>
      </c>
      <c r="C4" t="s">
        <v>61</v>
      </c>
      <c r="D4" t="s">
        <v>62</v>
      </c>
      <c r="E4">
        <v>23</v>
      </c>
      <c r="F4">
        <v>250</v>
      </c>
      <c r="G4">
        <v>5750</v>
      </c>
      <c r="H4" t="s">
        <v>63</v>
      </c>
      <c r="I4" t="s">
        <v>17</v>
      </c>
      <c r="J4" t="s">
        <v>64</v>
      </c>
      <c r="K4" t="s">
        <v>35</v>
      </c>
      <c r="L4">
        <f t="shared" si="0"/>
        <v>2026</v>
      </c>
      <c r="M4">
        <f t="shared" si="1"/>
        <v>5</v>
      </c>
    </row>
    <row r="5" spans="1:13" x14ac:dyDescent="0.25">
      <c r="A5" t="s">
        <v>65</v>
      </c>
      <c r="B5" s="16">
        <v>46146</v>
      </c>
      <c r="C5" t="s">
        <v>66</v>
      </c>
      <c r="D5" t="s">
        <v>67</v>
      </c>
      <c r="E5">
        <v>59</v>
      </c>
      <c r="F5">
        <v>450</v>
      </c>
      <c r="G5">
        <v>26550</v>
      </c>
      <c r="H5" t="s">
        <v>68</v>
      </c>
      <c r="I5" t="s">
        <v>19</v>
      </c>
      <c r="J5" t="s">
        <v>69</v>
      </c>
      <c r="K5" t="s">
        <v>36</v>
      </c>
      <c r="L5">
        <f t="shared" si="0"/>
        <v>2026</v>
      </c>
      <c r="M5">
        <f t="shared" si="1"/>
        <v>5</v>
      </c>
    </row>
    <row r="6" spans="1:13" x14ac:dyDescent="0.25">
      <c r="A6" t="s">
        <v>70</v>
      </c>
      <c r="B6" s="16">
        <v>46147</v>
      </c>
      <c r="C6" t="s">
        <v>71</v>
      </c>
      <c r="D6" t="s">
        <v>72</v>
      </c>
      <c r="E6">
        <v>30</v>
      </c>
      <c r="F6">
        <v>700</v>
      </c>
      <c r="G6">
        <v>21000</v>
      </c>
      <c r="H6" t="s">
        <v>73</v>
      </c>
      <c r="I6" t="s">
        <v>6</v>
      </c>
      <c r="J6" t="s">
        <v>74</v>
      </c>
      <c r="K6" t="s">
        <v>34</v>
      </c>
      <c r="L6">
        <f t="shared" si="0"/>
        <v>2026</v>
      </c>
      <c r="M6">
        <f t="shared" si="1"/>
        <v>5</v>
      </c>
    </row>
    <row r="7" spans="1:13" x14ac:dyDescent="0.25">
      <c r="A7" t="s">
        <v>75</v>
      </c>
      <c r="B7" s="16">
        <v>46148</v>
      </c>
      <c r="C7" t="s">
        <v>76</v>
      </c>
      <c r="D7" t="s">
        <v>52</v>
      </c>
      <c r="E7">
        <v>65</v>
      </c>
      <c r="F7">
        <v>220</v>
      </c>
      <c r="G7">
        <v>14300</v>
      </c>
      <c r="H7" t="s">
        <v>53</v>
      </c>
      <c r="I7" t="s">
        <v>6</v>
      </c>
      <c r="J7" t="s">
        <v>77</v>
      </c>
      <c r="K7" t="s">
        <v>36</v>
      </c>
      <c r="L7">
        <f t="shared" si="0"/>
        <v>2026</v>
      </c>
      <c r="M7">
        <f t="shared" si="1"/>
        <v>5</v>
      </c>
    </row>
    <row r="8" spans="1:13" x14ac:dyDescent="0.25">
      <c r="A8" t="s">
        <v>78</v>
      </c>
      <c r="B8" s="16">
        <v>46149</v>
      </c>
      <c r="C8" t="s">
        <v>79</v>
      </c>
      <c r="D8" t="s">
        <v>57</v>
      </c>
      <c r="E8">
        <v>62</v>
      </c>
      <c r="F8">
        <v>300</v>
      </c>
      <c r="G8">
        <v>18600</v>
      </c>
      <c r="H8" t="s">
        <v>58</v>
      </c>
      <c r="I8" t="s">
        <v>17</v>
      </c>
      <c r="J8" t="s">
        <v>80</v>
      </c>
      <c r="K8" t="s">
        <v>35</v>
      </c>
      <c r="L8">
        <f t="shared" si="0"/>
        <v>2026</v>
      </c>
      <c r="M8">
        <f t="shared" si="1"/>
        <v>5</v>
      </c>
    </row>
    <row r="9" spans="1:13" x14ac:dyDescent="0.25">
      <c r="A9" t="s">
        <v>81</v>
      </c>
      <c r="B9" s="16">
        <v>46150</v>
      </c>
      <c r="C9" t="s">
        <v>82</v>
      </c>
      <c r="D9" t="s">
        <v>62</v>
      </c>
      <c r="E9">
        <v>66</v>
      </c>
      <c r="F9">
        <v>250</v>
      </c>
      <c r="G9">
        <v>16500</v>
      </c>
      <c r="H9" t="s">
        <v>63</v>
      </c>
      <c r="I9" t="s">
        <v>17</v>
      </c>
      <c r="J9" t="s">
        <v>83</v>
      </c>
      <c r="K9" t="s">
        <v>33</v>
      </c>
      <c r="L9">
        <f t="shared" si="0"/>
        <v>2026</v>
      </c>
      <c r="M9">
        <f t="shared" si="1"/>
        <v>5</v>
      </c>
    </row>
    <row r="10" spans="1:13" x14ac:dyDescent="0.25">
      <c r="A10" t="s">
        <v>84</v>
      </c>
      <c r="B10" s="16">
        <v>46151</v>
      </c>
      <c r="C10" t="s">
        <v>85</v>
      </c>
      <c r="D10" t="s">
        <v>67</v>
      </c>
      <c r="E10">
        <v>60</v>
      </c>
      <c r="F10">
        <v>450</v>
      </c>
      <c r="G10">
        <v>27000</v>
      </c>
      <c r="H10" t="s">
        <v>68</v>
      </c>
      <c r="I10" t="s">
        <v>19</v>
      </c>
      <c r="J10" t="s">
        <v>86</v>
      </c>
      <c r="K10" t="s">
        <v>34</v>
      </c>
      <c r="L10">
        <f t="shared" si="0"/>
        <v>2026</v>
      </c>
      <c r="M10">
        <f t="shared" si="1"/>
        <v>5</v>
      </c>
    </row>
    <row r="11" spans="1:13" x14ac:dyDescent="0.25">
      <c r="A11" t="s">
        <v>87</v>
      </c>
      <c r="B11" s="16">
        <v>46152</v>
      </c>
      <c r="C11" t="s">
        <v>88</v>
      </c>
      <c r="D11" t="s">
        <v>72</v>
      </c>
      <c r="E11">
        <v>44</v>
      </c>
      <c r="F11">
        <v>700</v>
      </c>
      <c r="G11">
        <v>30800</v>
      </c>
      <c r="H11" t="s">
        <v>73</v>
      </c>
      <c r="I11" t="s">
        <v>6</v>
      </c>
      <c r="J11" t="s">
        <v>89</v>
      </c>
      <c r="K11" t="s">
        <v>34</v>
      </c>
      <c r="L11">
        <f t="shared" si="0"/>
        <v>2026</v>
      </c>
      <c r="M11">
        <f t="shared" si="1"/>
        <v>5</v>
      </c>
    </row>
    <row r="12" spans="1:13" x14ac:dyDescent="0.25">
      <c r="A12" t="s">
        <v>90</v>
      </c>
      <c r="B12" s="16">
        <v>46153</v>
      </c>
      <c r="C12" t="s">
        <v>91</v>
      </c>
      <c r="D12" t="s">
        <v>52</v>
      </c>
      <c r="E12">
        <v>31</v>
      </c>
      <c r="F12">
        <v>220</v>
      </c>
      <c r="G12">
        <v>6820</v>
      </c>
      <c r="H12" t="s">
        <v>53</v>
      </c>
      <c r="I12" t="s">
        <v>6</v>
      </c>
      <c r="J12" t="s">
        <v>92</v>
      </c>
      <c r="K12" t="s">
        <v>34</v>
      </c>
      <c r="L12">
        <f t="shared" si="0"/>
        <v>2026</v>
      </c>
      <c r="M12">
        <f t="shared" si="1"/>
        <v>5</v>
      </c>
    </row>
    <row r="13" spans="1:13" x14ac:dyDescent="0.25">
      <c r="A13" t="s">
        <v>93</v>
      </c>
      <c r="B13" s="16">
        <v>46154</v>
      </c>
      <c r="C13" t="s">
        <v>94</v>
      </c>
      <c r="D13" t="s">
        <v>57</v>
      </c>
      <c r="E13">
        <v>35</v>
      </c>
      <c r="F13">
        <v>300</v>
      </c>
      <c r="G13">
        <v>10500</v>
      </c>
      <c r="H13" t="s">
        <v>58</v>
      </c>
      <c r="I13" t="s">
        <v>17</v>
      </c>
      <c r="J13" t="s">
        <v>95</v>
      </c>
      <c r="K13" t="s">
        <v>34</v>
      </c>
      <c r="L13">
        <f t="shared" si="0"/>
        <v>2026</v>
      </c>
      <c r="M13">
        <f t="shared" si="1"/>
        <v>5</v>
      </c>
    </row>
    <row r="14" spans="1:13" x14ac:dyDescent="0.25">
      <c r="A14" t="s">
        <v>96</v>
      </c>
      <c r="B14" s="16">
        <v>46155</v>
      </c>
      <c r="C14" t="s">
        <v>97</v>
      </c>
      <c r="D14" t="s">
        <v>62</v>
      </c>
      <c r="E14">
        <v>66</v>
      </c>
      <c r="F14">
        <v>250</v>
      </c>
      <c r="G14">
        <v>16500</v>
      </c>
      <c r="H14" t="s">
        <v>63</v>
      </c>
      <c r="I14" t="s">
        <v>17</v>
      </c>
      <c r="J14" t="s">
        <v>98</v>
      </c>
      <c r="K14" t="s">
        <v>33</v>
      </c>
      <c r="L14">
        <f t="shared" si="0"/>
        <v>2026</v>
      </c>
      <c r="M14">
        <f t="shared" si="1"/>
        <v>5</v>
      </c>
    </row>
    <row r="15" spans="1:13" x14ac:dyDescent="0.25">
      <c r="A15" t="s">
        <v>99</v>
      </c>
      <c r="B15" s="16">
        <v>46156</v>
      </c>
      <c r="C15" t="s">
        <v>51</v>
      </c>
      <c r="D15" t="s">
        <v>67</v>
      </c>
      <c r="E15">
        <v>57</v>
      </c>
      <c r="F15">
        <v>450</v>
      </c>
      <c r="G15">
        <v>25650</v>
      </c>
      <c r="H15" t="s">
        <v>68</v>
      </c>
      <c r="I15" t="s">
        <v>19</v>
      </c>
      <c r="J15" t="s">
        <v>54</v>
      </c>
      <c r="K15" t="s">
        <v>33</v>
      </c>
      <c r="L15">
        <f t="shared" si="0"/>
        <v>2026</v>
      </c>
      <c r="M15">
        <f t="shared" si="1"/>
        <v>5</v>
      </c>
    </row>
    <row r="16" spans="1:13" x14ac:dyDescent="0.25">
      <c r="A16" t="s">
        <v>100</v>
      </c>
      <c r="B16" s="16">
        <v>46157</v>
      </c>
      <c r="C16" t="s">
        <v>56</v>
      </c>
      <c r="D16" t="s">
        <v>72</v>
      </c>
      <c r="E16">
        <v>74</v>
      </c>
      <c r="F16">
        <v>700</v>
      </c>
      <c r="G16">
        <v>51800</v>
      </c>
      <c r="H16" t="s">
        <v>73</v>
      </c>
      <c r="I16" t="s">
        <v>6</v>
      </c>
      <c r="J16" t="s">
        <v>59</v>
      </c>
      <c r="K16" t="s">
        <v>36</v>
      </c>
      <c r="L16">
        <f t="shared" si="0"/>
        <v>2026</v>
      </c>
      <c r="M16">
        <f t="shared" si="1"/>
        <v>5</v>
      </c>
    </row>
    <row r="17" spans="1:13" x14ac:dyDescent="0.25">
      <c r="A17" t="s">
        <v>101</v>
      </c>
      <c r="B17" s="16">
        <v>46158</v>
      </c>
      <c r="C17" t="s">
        <v>61</v>
      </c>
      <c r="D17" t="s">
        <v>52</v>
      </c>
      <c r="E17">
        <v>64</v>
      </c>
      <c r="F17">
        <v>220</v>
      </c>
      <c r="G17">
        <v>14080</v>
      </c>
      <c r="H17" t="s">
        <v>53</v>
      </c>
      <c r="I17" t="s">
        <v>6</v>
      </c>
      <c r="J17" t="s">
        <v>64</v>
      </c>
      <c r="K17" t="s">
        <v>35</v>
      </c>
      <c r="L17">
        <f t="shared" si="0"/>
        <v>2026</v>
      </c>
      <c r="M17">
        <f t="shared" si="1"/>
        <v>5</v>
      </c>
    </row>
    <row r="18" spans="1:13" x14ac:dyDescent="0.25">
      <c r="A18" t="s">
        <v>102</v>
      </c>
      <c r="B18" s="16">
        <v>46159</v>
      </c>
      <c r="C18" t="s">
        <v>66</v>
      </c>
      <c r="D18" t="s">
        <v>57</v>
      </c>
      <c r="E18">
        <v>32</v>
      </c>
      <c r="F18">
        <v>300</v>
      </c>
      <c r="G18">
        <v>9600</v>
      </c>
      <c r="H18" t="s">
        <v>58</v>
      </c>
      <c r="I18" t="s">
        <v>17</v>
      </c>
      <c r="J18" t="s">
        <v>69</v>
      </c>
      <c r="K18" t="s">
        <v>36</v>
      </c>
      <c r="L18">
        <f t="shared" si="0"/>
        <v>2026</v>
      </c>
      <c r="M18">
        <f t="shared" si="1"/>
        <v>5</v>
      </c>
    </row>
    <row r="19" spans="1:13" x14ac:dyDescent="0.25">
      <c r="A19" t="s">
        <v>103</v>
      </c>
      <c r="B19" s="16">
        <v>46160</v>
      </c>
      <c r="C19" t="s">
        <v>71</v>
      </c>
      <c r="D19" t="s">
        <v>62</v>
      </c>
      <c r="E19">
        <v>28</v>
      </c>
      <c r="F19">
        <v>250</v>
      </c>
      <c r="G19">
        <v>7000</v>
      </c>
      <c r="H19" t="s">
        <v>63</v>
      </c>
      <c r="I19" t="s">
        <v>17</v>
      </c>
      <c r="J19" t="s">
        <v>74</v>
      </c>
      <c r="K19" t="s">
        <v>34</v>
      </c>
      <c r="L19">
        <f t="shared" si="0"/>
        <v>2026</v>
      </c>
      <c r="M19">
        <f t="shared" si="1"/>
        <v>5</v>
      </c>
    </row>
    <row r="20" spans="1:13" x14ac:dyDescent="0.25">
      <c r="A20" t="s">
        <v>104</v>
      </c>
      <c r="B20" s="16">
        <v>46161</v>
      </c>
      <c r="C20" t="s">
        <v>76</v>
      </c>
      <c r="D20" t="s">
        <v>67</v>
      </c>
      <c r="E20">
        <v>33</v>
      </c>
      <c r="F20">
        <v>450</v>
      </c>
      <c r="G20">
        <v>14850</v>
      </c>
      <c r="H20" t="s">
        <v>68</v>
      </c>
      <c r="I20" t="s">
        <v>19</v>
      </c>
      <c r="J20" t="s">
        <v>77</v>
      </c>
      <c r="K20" t="s">
        <v>36</v>
      </c>
      <c r="L20">
        <f t="shared" si="0"/>
        <v>2026</v>
      </c>
      <c r="M20">
        <f t="shared" si="1"/>
        <v>5</v>
      </c>
    </row>
    <row r="21" spans="1:13" x14ac:dyDescent="0.25">
      <c r="A21" t="s">
        <v>105</v>
      </c>
      <c r="B21" s="16">
        <v>46162</v>
      </c>
      <c r="C21" t="s">
        <v>79</v>
      </c>
      <c r="D21" t="s">
        <v>72</v>
      </c>
      <c r="E21">
        <v>65</v>
      </c>
      <c r="F21">
        <v>700</v>
      </c>
      <c r="G21">
        <v>45500</v>
      </c>
      <c r="H21" t="s">
        <v>73</v>
      </c>
      <c r="I21" t="s">
        <v>6</v>
      </c>
      <c r="J21" t="s">
        <v>80</v>
      </c>
      <c r="K21" t="s">
        <v>35</v>
      </c>
      <c r="L21">
        <f t="shared" si="0"/>
        <v>2026</v>
      </c>
      <c r="M21">
        <f t="shared" si="1"/>
        <v>5</v>
      </c>
    </row>
    <row r="22" spans="1:13" x14ac:dyDescent="0.25">
      <c r="A22" t="s">
        <v>106</v>
      </c>
      <c r="B22" s="16">
        <v>46163</v>
      </c>
      <c r="C22" t="s">
        <v>82</v>
      </c>
      <c r="D22" t="s">
        <v>52</v>
      </c>
      <c r="E22">
        <v>20</v>
      </c>
      <c r="F22">
        <v>220</v>
      </c>
      <c r="G22">
        <v>4400</v>
      </c>
      <c r="H22" t="s">
        <v>53</v>
      </c>
      <c r="I22" t="s">
        <v>6</v>
      </c>
      <c r="J22" t="s">
        <v>83</v>
      </c>
      <c r="K22" t="s">
        <v>33</v>
      </c>
      <c r="L22">
        <f t="shared" si="0"/>
        <v>2026</v>
      </c>
      <c r="M22">
        <f t="shared" si="1"/>
        <v>5</v>
      </c>
    </row>
    <row r="23" spans="1:13" x14ac:dyDescent="0.25">
      <c r="A23" t="s">
        <v>107</v>
      </c>
      <c r="B23" s="16">
        <v>46164</v>
      </c>
      <c r="C23" t="s">
        <v>85</v>
      </c>
      <c r="D23" t="s">
        <v>57</v>
      </c>
      <c r="E23">
        <v>62</v>
      </c>
      <c r="F23">
        <v>300</v>
      </c>
      <c r="G23">
        <v>18600</v>
      </c>
      <c r="H23" t="s">
        <v>58</v>
      </c>
      <c r="I23" t="s">
        <v>17</v>
      </c>
      <c r="J23" t="s">
        <v>86</v>
      </c>
      <c r="K23" t="s">
        <v>34</v>
      </c>
      <c r="L23">
        <f t="shared" si="0"/>
        <v>2026</v>
      </c>
      <c r="M23">
        <f t="shared" si="1"/>
        <v>5</v>
      </c>
    </row>
    <row r="24" spans="1:13" x14ac:dyDescent="0.25">
      <c r="A24" t="s">
        <v>108</v>
      </c>
      <c r="B24" s="16">
        <v>46165</v>
      </c>
      <c r="C24" t="s">
        <v>88</v>
      </c>
      <c r="D24" t="s">
        <v>62</v>
      </c>
      <c r="E24">
        <v>47</v>
      </c>
      <c r="F24">
        <v>250</v>
      </c>
      <c r="G24">
        <v>11750</v>
      </c>
      <c r="H24" t="s">
        <v>63</v>
      </c>
      <c r="I24" t="s">
        <v>17</v>
      </c>
      <c r="J24" t="s">
        <v>89</v>
      </c>
      <c r="K24" t="s">
        <v>34</v>
      </c>
      <c r="L24">
        <f t="shared" si="0"/>
        <v>2026</v>
      </c>
      <c r="M24">
        <f t="shared" si="1"/>
        <v>5</v>
      </c>
    </row>
    <row r="25" spans="1:13" x14ac:dyDescent="0.25">
      <c r="A25" t="s">
        <v>109</v>
      </c>
      <c r="B25" s="16">
        <v>46166</v>
      </c>
      <c r="C25" t="s">
        <v>91</v>
      </c>
      <c r="D25" t="s">
        <v>67</v>
      </c>
      <c r="E25">
        <v>76</v>
      </c>
      <c r="F25">
        <v>450</v>
      </c>
      <c r="G25">
        <v>34200</v>
      </c>
      <c r="H25" t="s">
        <v>68</v>
      </c>
      <c r="I25" t="s">
        <v>19</v>
      </c>
      <c r="J25" t="s">
        <v>92</v>
      </c>
      <c r="K25" t="s">
        <v>34</v>
      </c>
      <c r="L25">
        <f t="shared" si="0"/>
        <v>2026</v>
      </c>
      <c r="M25">
        <f t="shared" si="1"/>
        <v>5</v>
      </c>
    </row>
    <row r="26" spans="1:13" x14ac:dyDescent="0.25">
      <c r="A26" t="s">
        <v>110</v>
      </c>
      <c r="B26" s="16">
        <v>46167</v>
      </c>
      <c r="C26" t="s">
        <v>94</v>
      </c>
      <c r="D26" t="s">
        <v>72</v>
      </c>
      <c r="E26">
        <v>43</v>
      </c>
      <c r="F26">
        <v>700</v>
      </c>
      <c r="G26">
        <v>30100</v>
      </c>
      <c r="H26" t="s">
        <v>73</v>
      </c>
      <c r="I26" t="s">
        <v>6</v>
      </c>
      <c r="J26" t="s">
        <v>95</v>
      </c>
      <c r="K26" t="s">
        <v>34</v>
      </c>
      <c r="L26">
        <f t="shared" si="0"/>
        <v>2026</v>
      </c>
      <c r="M26">
        <f t="shared" si="1"/>
        <v>5</v>
      </c>
    </row>
    <row r="27" spans="1:13" x14ac:dyDescent="0.25">
      <c r="A27" t="s">
        <v>111</v>
      </c>
      <c r="B27" s="16">
        <v>46168</v>
      </c>
      <c r="C27" t="s">
        <v>97</v>
      </c>
      <c r="D27" t="s">
        <v>52</v>
      </c>
      <c r="E27">
        <v>53</v>
      </c>
      <c r="F27">
        <v>220</v>
      </c>
      <c r="G27">
        <v>11660</v>
      </c>
      <c r="H27" t="s">
        <v>53</v>
      </c>
      <c r="I27" t="s">
        <v>6</v>
      </c>
      <c r="J27" t="s">
        <v>98</v>
      </c>
      <c r="K27" t="s">
        <v>33</v>
      </c>
      <c r="L27">
        <f t="shared" si="0"/>
        <v>2026</v>
      </c>
      <c r="M27">
        <f t="shared" si="1"/>
        <v>5</v>
      </c>
    </row>
    <row r="28" spans="1:13" x14ac:dyDescent="0.25">
      <c r="A28" t="s">
        <v>112</v>
      </c>
      <c r="B28" s="16">
        <v>46169</v>
      </c>
      <c r="C28" t="s">
        <v>85</v>
      </c>
      <c r="D28" t="s">
        <v>57</v>
      </c>
      <c r="E28">
        <v>20</v>
      </c>
      <c r="F28">
        <v>300</v>
      </c>
      <c r="G28">
        <v>6000</v>
      </c>
      <c r="H28" t="s">
        <v>58</v>
      </c>
      <c r="I28" t="s">
        <v>17</v>
      </c>
      <c r="J28" t="s">
        <v>86</v>
      </c>
      <c r="K28" t="s">
        <v>34</v>
      </c>
      <c r="L28">
        <f t="shared" si="0"/>
        <v>2026</v>
      </c>
      <c r="M28">
        <f t="shared" si="1"/>
        <v>5</v>
      </c>
    </row>
    <row r="29" spans="1:13" x14ac:dyDescent="0.25">
      <c r="A29" t="s">
        <v>113</v>
      </c>
      <c r="B29" s="16">
        <v>46170</v>
      </c>
      <c r="C29" t="s">
        <v>88</v>
      </c>
      <c r="D29" t="s">
        <v>62</v>
      </c>
      <c r="E29">
        <v>57</v>
      </c>
      <c r="F29">
        <v>250</v>
      </c>
      <c r="G29">
        <v>14250</v>
      </c>
      <c r="H29" t="s">
        <v>63</v>
      </c>
      <c r="I29" t="s">
        <v>17</v>
      </c>
      <c r="J29" t="s">
        <v>89</v>
      </c>
      <c r="K29" t="s">
        <v>34</v>
      </c>
      <c r="L29">
        <f t="shared" si="0"/>
        <v>2026</v>
      </c>
      <c r="M29">
        <f t="shared" si="1"/>
        <v>5</v>
      </c>
    </row>
    <row r="30" spans="1:13" x14ac:dyDescent="0.25">
      <c r="A30" t="s">
        <v>114</v>
      </c>
      <c r="B30" s="16">
        <v>46171</v>
      </c>
      <c r="C30" t="s">
        <v>91</v>
      </c>
      <c r="D30" t="s">
        <v>67</v>
      </c>
      <c r="E30">
        <v>60</v>
      </c>
      <c r="F30">
        <v>450</v>
      </c>
      <c r="G30">
        <v>27000</v>
      </c>
      <c r="H30" t="s">
        <v>68</v>
      </c>
      <c r="I30" t="s">
        <v>19</v>
      </c>
      <c r="J30" t="s">
        <v>92</v>
      </c>
      <c r="K30" t="s">
        <v>34</v>
      </c>
      <c r="L30">
        <f t="shared" si="0"/>
        <v>2026</v>
      </c>
      <c r="M30">
        <f t="shared" si="1"/>
        <v>5</v>
      </c>
    </row>
    <row r="31" spans="1:13" x14ac:dyDescent="0.25">
      <c r="A31" t="s">
        <v>115</v>
      </c>
      <c r="B31" s="16">
        <v>46172</v>
      </c>
      <c r="C31" t="s">
        <v>94</v>
      </c>
      <c r="D31" t="s">
        <v>72</v>
      </c>
      <c r="E31">
        <v>66</v>
      </c>
      <c r="F31">
        <v>700</v>
      </c>
      <c r="G31">
        <v>46200</v>
      </c>
      <c r="H31" t="s">
        <v>73</v>
      </c>
      <c r="I31" t="s">
        <v>6</v>
      </c>
      <c r="J31" t="s">
        <v>95</v>
      </c>
      <c r="K31" t="s">
        <v>34</v>
      </c>
      <c r="L31">
        <f t="shared" si="0"/>
        <v>2026</v>
      </c>
      <c r="M31">
        <f t="shared" si="1"/>
        <v>5</v>
      </c>
    </row>
    <row r="32" spans="1:13" x14ac:dyDescent="0.25">
      <c r="A32" t="s">
        <v>116</v>
      </c>
      <c r="B32" s="16">
        <v>46173</v>
      </c>
      <c r="C32" t="s">
        <v>51</v>
      </c>
      <c r="D32" t="s">
        <v>52</v>
      </c>
      <c r="E32">
        <v>57</v>
      </c>
      <c r="F32">
        <v>220</v>
      </c>
      <c r="G32">
        <v>12540</v>
      </c>
      <c r="H32" t="s">
        <v>53</v>
      </c>
      <c r="I32" t="s">
        <v>6</v>
      </c>
      <c r="J32" t="s">
        <v>54</v>
      </c>
      <c r="K32" t="s">
        <v>33</v>
      </c>
      <c r="L32">
        <f t="shared" si="0"/>
        <v>2026</v>
      </c>
      <c r="M32">
        <f t="shared" si="1"/>
        <v>5</v>
      </c>
    </row>
    <row r="33" spans="1:13" x14ac:dyDescent="0.25">
      <c r="A33" t="s">
        <v>117</v>
      </c>
      <c r="B33" s="16">
        <v>46174</v>
      </c>
      <c r="C33" t="s">
        <v>56</v>
      </c>
      <c r="D33" t="s">
        <v>57</v>
      </c>
      <c r="E33">
        <v>42</v>
      </c>
      <c r="F33">
        <v>300</v>
      </c>
      <c r="G33">
        <v>12600</v>
      </c>
      <c r="H33" t="s">
        <v>58</v>
      </c>
      <c r="I33" t="s">
        <v>17</v>
      </c>
      <c r="J33" t="s">
        <v>59</v>
      </c>
      <c r="K33" t="s">
        <v>36</v>
      </c>
      <c r="L33">
        <f t="shared" si="0"/>
        <v>2026</v>
      </c>
      <c r="M33">
        <f t="shared" si="1"/>
        <v>6</v>
      </c>
    </row>
    <row r="34" spans="1:13" x14ac:dyDescent="0.25">
      <c r="A34" t="s">
        <v>118</v>
      </c>
      <c r="B34" s="16">
        <v>46175</v>
      </c>
      <c r="C34" t="s">
        <v>61</v>
      </c>
      <c r="D34" t="s">
        <v>62</v>
      </c>
      <c r="E34">
        <v>38</v>
      </c>
      <c r="F34">
        <v>250</v>
      </c>
      <c r="G34">
        <v>9500</v>
      </c>
      <c r="H34" t="s">
        <v>63</v>
      </c>
      <c r="I34" t="s">
        <v>17</v>
      </c>
      <c r="J34" t="s">
        <v>64</v>
      </c>
      <c r="K34" t="s">
        <v>35</v>
      </c>
      <c r="L34">
        <f t="shared" si="0"/>
        <v>2026</v>
      </c>
      <c r="M34">
        <f t="shared" si="1"/>
        <v>6</v>
      </c>
    </row>
    <row r="35" spans="1:13" x14ac:dyDescent="0.25">
      <c r="A35" t="s">
        <v>119</v>
      </c>
      <c r="B35" s="16">
        <v>46176</v>
      </c>
      <c r="C35" t="s">
        <v>66</v>
      </c>
      <c r="D35" t="s">
        <v>67</v>
      </c>
      <c r="E35">
        <v>55</v>
      </c>
      <c r="F35">
        <v>450</v>
      </c>
      <c r="G35">
        <v>24750</v>
      </c>
      <c r="H35" t="s">
        <v>68</v>
      </c>
      <c r="I35" t="s">
        <v>19</v>
      </c>
      <c r="J35" t="s">
        <v>69</v>
      </c>
      <c r="K35" t="s">
        <v>36</v>
      </c>
      <c r="L35">
        <f t="shared" si="0"/>
        <v>2026</v>
      </c>
      <c r="M35">
        <f t="shared" si="1"/>
        <v>6</v>
      </c>
    </row>
    <row r="36" spans="1:13" x14ac:dyDescent="0.25">
      <c r="A36" t="s">
        <v>120</v>
      </c>
      <c r="B36" s="16">
        <v>46177</v>
      </c>
      <c r="C36" t="s">
        <v>71</v>
      </c>
      <c r="D36" t="s">
        <v>72</v>
      </c>
      <c r="E36">
        <v>51</v>
      </c>
      <c r="F36">
        <v>700</v>
      </c>
      <c r="G36">
        <v>35700</v>
      </c>
      <c r="H36" t="s">
        <v>73</v>
      </c>
      <c r="I36" t="s">
        <v>6</v>
      </c>
      <c r="J36" t="s">
        <v>74</v>
      </c>
      <c r="K36" t="s">
        <v>34</v>
      </c>
      <c r="L36">
        <f t="shared" si="0"/>
        <v>2026</v>
      </c>
      <c r="M36">
        <f t="shared" si="1"/>
        <v>6</v>
      </c>
    </row>
    <row r="37" spans="1:13" x14ac:dyDescent="0.25">
      <c r="A37" t="s">
        <v>121</v>
      </c>
      <c r="B37" s="16">
        <v>46178</v>
      </c>
      <c r="C37" t="s">
        <v>51</v>
      </c>
      <c r="D37" t="s">
        <v>52</v>
      </c>
      <c r="E37">
        <v>73</v>
      </c>
      <c r="F37">
        <v>220</v>
      </c>
      <c r="G37">
        <v>16060</v>
      </c>
      <c r="H37" t="s">
        <v>53</v>
      </c>
      <c r="I37" t="s">
        <v>6</v>
      </c>
      <c r="J37" t="s">
        <v>54</v>
      </c>
      <c r="K37" t="s">
        <v>33</v>
      </c>
      <c r="L37">
        <f t="shared" si="0"/>
        <v>2026</v>
      </c>
      <c r="M37">
        <f t="shared" si="1"/>
        <v>6</v>
      </c>
    </row>
    <row r="38" spans="1:13" x14ac:dyDescent="0.25">
      <c r="A38" t="s">
        <v>122</v>
      </c>
      <c r="B38" s="16">
        <v>46179</v>
      </c>
      <c r="C38" t="s">
        <v>56</v>
      </c>
      <c r="D38" t="s">
        <v>57</v>
      </c>
      <c r="E38">
        <v>34</v>
      </c>
      <c r="F38">
        <v>300</v>
      </c>
      <c r="G38">
        <v>10200</v>
      </c>
      <c r="H38" t="s">
        <v>58</v>
      </c>
      <c r="I38" t="s">
        <v>17</v>
      </c>
      <c r="J38" t="s">
        <v>59</v>
      </c>
      <c r="K38" t="s">
        <v>36</v>
      </c>
      <c r="L38">
        <f t="shared" si="0"/>
        <v>2026</v>
      </c>
      <c r="M38">
        <f t="shared" si="1"/>
        <v>6</v>
      </c>
    </row>
    <row r="39" spans="1:13" x14ac:dyDescent="0.25">
      <c r="A39" t="s">
        <v>123</v>
      </c>
      <c r="B39" s="16">
        <v>46180</v>
      </c>
      <c r="C39" t="s">
        <v>61</v>
      </c>
      <c r="D39" t="s">
        <v>62</v>
      </c>
      <c r="E39">
        <v>61</v>
      </c>
      <c r="F39">
        <v>250</v>
      </c>
      <c r="G39">
        <v>15250</v>
      </c>
      <c r="H39" t="s">
        <v>63</v>
      </c>
      <c r="I39" t="s">
        <v>17</v>
      </c>
      <c r="J39" t="s">
        <v>64</v>
      </c>
      <c r="K39" t="s">
        <v>35</v>
      </c>
      <c r="L39">
        <f t="shared" si="0"/>
        <v>2026</v>
      </c>
      <c r="M39">
        <f t="shared" si="1"/>
        <v>6</v>
      </c>
    </row>
    <row r="40" spans="1:13" x14ac:dyDescent="0.25">
      <c r="A40" t="s">
        <v>124</v>
      </c>
      <c r="B40" s="16">
        <v>46181</v>
      </c>
      <c r="C40" t="s">
        <v>91</v>
      </c>
      <c r="D40" t="s">
        <v>67</v>
      </c>
      <c r="E40">
        <v>44</v>
      </c>
      <c r="F40">
        <v>450</v>
      </c>
      <c r="G40">
        <v>19800</v>
      </c>
      <c r="H40" t="s">
        <v>68</v>
      </c>
      <c r="I40" t="s">
        <v>19</v>
      </c>
      <c r="J40" t="s">
        <v>92</v>
      </c>
      <c r="K40" t="s">
        <v>34</v>
      </c>
      <c r="L40">
        <f t="shared" si="0"/>
        <v>2026</v>
      </c>
      <c r="M40">
        <f t="shared" si="1"/>
        <v>6</v>
      </c>
    </row>
    <row r="41" spans="1:13" x14ac:dyDescent="0.25">
      <c r="A41" t="s">
        <v>125</v>
      </c>
      <c r="B41" s="16">
        <v>46182</v>
      </c>
      <c r="C41" t="s">
        <v>94</v>
      </c>
      <c r="D41" t="s">
        <v>72</v>
      </c>
      <c r="E41">
        <v>52</v>
      </c>
      <c r="F41">
        <v>700</v>
      </c>
      <c r="G41">
        <v>36400</v>
      </c>
      <c r="H41" t="s">
        <v>73</v>
      </c>
      <c r="I41" t="s">
        <v>6</v>
      </c>
      <c r="J41" t="s">
        <v>95</v>
      </c>
      <c r="K41" t="s">
        <v>34</v>
      </c>
      <c r="L41">
        <f t="shared" si="0"/>
        <v>2026</v>
      </c>
      <c r="M41">
        <f t="shared" si="1"/>
        <v>6</v>
      </c>
    </row>
    <row r="42" spans="1:13" x14ac:dyDescent="0.25">
      <c r="A42" t="s">
        <v>126</v>
      </c>
      <c r="B42" s="16">
        <v>46183</v>
      </c>
      <c r="C42" t="s">
        <v>97</v>
      </c>
      <c r="D42" t="s">
        <v>52</v>
      </c>
      <c r="E42">
        <v>79</v>
      </c>
      <c r="F42">
        <v>220</v>
      </c>
      <c r="G42">
        <v>17380</v>
      </c>
      <c r="H42" t="s">
        <v>53</v>
      </c>
      <c r="I42" t="s">
        <v>6</v>
      </c>
      <c r="J42" t="s">
        <v>98</v>
      </c>
      <c r="K42" t="s">
        <v>33</v>
      </c>
      <c r="L42">
        <f t="shared" si="0"/>
        <v>2026</v>
      </c>
      <c r="M42">
        <f t="shared" si="1"/>
        <v>6</v>
      </c>
    </row>
    <row r="43" spans="1:13" x14ac:dyDescent="0.25">
      <c r="A43" t="s">
        <v>127</v>
      </c>
      <c r="B43" s="16">
        <v>46184</v>
      </c>
      <c r="C43" t="s">
        <v>85</v>
      </c>
      <c r="D43" t="s">
        <v>57</v>
      </c>
      <c r="E43">
        <v>39</v>
      </c>
      <c r="F43">
        <v>300</v>
      </c>
      <c r="G43">
        <v>11700</v>
      </c>
      <c r="H43" t="s">
        <v>58</v>
      </c>
      <c r="I43" t="s">
        <v>17</v>
      </c>
      <c r="J43" t="s">
        <v>86</v>
      </c>
      <c r="K43" t="s">
        <v>34</v>
      </c>
      <c r="L43">
        <f t="shared" si="0"/>
        <v>2026</v>
      </c>
      <c r="M43">
        <f t="shared" si="1"/>
        <v>6</v>
      </c>
    </row>
    <row r="44" spans="1:13" x14ac:dyDescent="0.25">
      <c r="A44" t="s">
        <v>128</v>
      </c>
      <c r="B44" s="16">
        <v>46185</v>
      </c>
      <c r="C44" t="s">
        <v>88</v>
      </c>
      <c r="D44" t="s">
        <v>62</v>
      </c>
      <c r="E44">
        <v>73</v>
      </c>
      <c r="F44">
        <v>250</v>
      </c>
      <c r="G44">
        <v>18250</v>
      </c>
      <c r="H44" t="s">
        <v>63</v>
      </c>
      <c r="I44" t="s">
        <v>17</v>
      </c>
      <c r="J44" t="s">
        <v>89</v>
      </c>
      <c r="K44" t="s">
        <v>34</v>
      </c>
      <c r="L44">
        <f t="shared" si="0"/>
        <v>2026</v>
      </c>
      <c r="M44">
        <f t="shared" si="1"/>
        <v>6</v>
      </c>
    </row>
    <row r="45" spans="1:13" x14ac:dyDescent="0.25">
      <c r="A45" t="s">
        <v>129</v>
      </c>
      <c r="B45" s="16">
        <v>46186</v>
      </c>
      <c r="C45" t="s">
        <v>91</v>
      </c>
      <c r="D45" t="s">
        <v>67</v>
      </c>
      <c r="E45">
        <v>55</v>
      </c>
      <c r="F45">
        <v>450</v>
      </c>
      <c r="G45">
        <v>24750</v>
      </c>
      <c r="H45" t="s">
        <v>68</v>
      </c>
      <c r="I45" t="s">
        <v>19</v>
      </c>
      <c r="J45" t="s">
        <v>92</v>
      </c>
      <c r="K45" t="s">
        <v>34</v>
      </c>
      <c r="L45">
        <f t="shared" si="0"/>
        <v>2026</v>
      </c>
      <c r="M45">
        <f t="shared" si="1"/>
        <v>6</v>
      </c>
    </row>
    <row r="46" spans="1:13" x14ac:dyDescent="0.25">
      <c r="A46" t="s">
        <v>130</v>
      </c>
      <c r="B46" s="16">
        <v>46187</v>
      </c>
      <c r="C46" t="s">
        <v>94</v>
      </c>
      <c r="D46" t="s">
        <v>72</v>
      </c>
      <c r="E46">
        <v>66</v>
      </c>
      <c r="F46">
        <v>700</v>
      </c>
      <c r="G46">
        <v>46200</v>
      </c>
      <c r="H46" t="s">
        <v>73</v>
      </c>
      <c r="I46" t="s">
        <v>6</v>
      </c>
      <c r="J46" t="s">
        <v>95</v>
      </c>
      <c r="K46" t="s">
        <v>34</v>
      </c>
      <c r="L46">
        <f t="shared" si="0"/>
        <v>2026</v>
      </c>
      <c r="M46">
        <f t="shared" si="1"/>
        <v>6</v>
      </c>
    </row>
    <row r="47" spans="1:13" x14ac:dyDescent="0.25">
      <c r="A47" t="s">
        <v>131</v>
      </c>
      <c r="B47" s="16">
        <v>46188</v>
      </c>
      <c r="C47" t="s">
        <v>51</v>
      </c>
      <c r="D47" t="s">
        <v>52</v>
      </c>
      <c r="E47">
        <v>45</v>
      </c>
      <c r="F47">
        <v>220</v>
      </c>
      <c r="G47">
        <v>9900</v>
      </c>
      <c r="H47" t="s">
        <v>53</v>
      </c>
      <c r="I47" t="s">
        <v>6</v>
      </c>
      <c r="J47" t="s">
        <v>54</v>
      </c>
      <c r="K47" t="s">
        <v>33</v>
      </c>
      <c r="L47">
        <f t="shared" si="0"/>
        <v>2026</v>
      </c>
      <c r="M47">
        <f t="shared" si="1"/>
        <v>6</v>
      </c>
    </row>
    <row r="48" spans="1:13" x14ac:dyDescent="0.25">
      <c r="A48" t="s">
        <v>132</v>
      </c>
      <c r="B48" s="16">
        <v>46189</v>
      </c>
      <c r="C48" t="s">
        <v>56</v>
      </c>
      <c r="D48" t="s">
        <v>57</v>
      </c>
      <c r="E48">
        <v>57</v>
      </c>
      <c r="F48">
        <v>300</v>
      </c>
      <c r="G48">
        <v>17100</v>
      </c>
      <c r="H48" t="s">
        <v>58</v>
      </c>
      <c r="I48" t="s">
        <v>17</v>
      </c>
      <c r="J48" t="s">
        <v>59</v>
      </c>
      <c r="K48" t="s">
        <v>36</v>
      </c>
      <c r="L48">
        <f t="shared" si="0"/>
        <v>2026</v>
      </c>
      <c r="M48">
        <f t="shared" si="1"/>
        <v>6</v>
      </c>
    </row>
    <row r="49" spans="1:13" x14ac:dyDescent="0.25">
      <c r="A49" t="s">
        <v>133</v>
      </c>
      <c r="B49" s="16">
        <v>46190</v>
      </c>
      <c r="C49" t="s">
        <v>61</v>
      </c>
      <c r="D49" t="s">
        <v>62</v>
      </c>
      <c r="E49">
        <v>74</v>
      </c>
      <c r="F49">
        <v>250</v>
      </c>
      <c r="G49">
        <v>18500</v>
      </c>
      <c r="H49" t="s">
        <v>63</v>
      </c>
      <c r="I49" t="s">
        <v>17</v>
      </c>
      <c r="J49" t="s">
        <v>64</v>
      </c>
      <c r="K49" t="s">
        <v>35</v>
      </c>
      <c r="L49">
        <f t="shared" si="0"/>
        <v>2026</v>
      </c>
      <c r="M49">
        <f t="shared" si="1"/>
        <v>6</v>
      </c>
    </row>
    <row r="50" spans="1:13" x14ac:dyDescent="0.25">
      <c r="A50" t="s">
        <v>134</v>
      </c>
      <c r="B50" s="16">
        <v>46191</v>
      </c>
      <c r="C50" t="s">
        <v>66</v>
      </c>
      <c r="D50" t="s">
        <v>67</v>
      </c>
      <c r="E50">
        <v>43</v>
      </c>
      <c r="F50">
        <v>450</v>
      </c>
      <c r="G50">
        <v>19350</v>
      </c>
      <c r="H50" t="s">
        <v>68</v>
      </c>
      <c r="I50" t="s">
        <v>19</v>
      </c>
      <c r="J50" t="s">
        <v>69</v>
      </c>
      <c r="K50" t="s">
        <v>36</v>
      </c>
      <c r="L50">
        <f t="shared" si="0"/>
        <v>2026</v>
      </c>
      <c r="M50">
        <f t="shared" si="1"/>
        <v>6</v>
      </c>
    </row>
    <row r="51" spans="1:13" x14ac:dyDescent="0.25">
      <c r="A51" t="s">
        <v>135</v>
      </c>
      <c r="B51" s="16">
        <v>46192</v>
      </c>
      <c r="C51" t="s">
        <v>97</v>
      </c>
      <c r="D51" t="s">
        <v>72</v>
      </c>
      <c r="E51">
        <v>77</v>
      </c>
      <c r="F51">
        <v>700</v>
      </c>
      <c r="G51">
        <v>53900</v>
      </c>
      <c r="H51" t="s">
        <v>73</v>
      </c>
      <c r="I51" t="s">
        <v>6</v>
      </c>
      <c r="J51" t="s">
        <v>98</v>
      </c>
      <c r="K51" t="s">
        <v>33</v>
      </c>
      <c r="L51">
        <f t="shared" si="0"/>
        <v>2026</v>
      </c>
      <c r="M51">
        <f t="shared" si="1"/>
        <v>6</v>
      </c>
    </row>
    <row r="52" spans="1:13" x14ac:dyDescent="0.25">
      <c r="A52" t="s">
        <v>136</v>
      </c>
      <c r="B52" s="16">
        <v>46193</v>
      </c>
      <c r="C52" t="s">
        <v>51</v>
      </c>
      <c r="D52" t="s">
        <v>52</v>
      </c>
      <c r="E52">
        <v>67</v>
      </c>
      <c r="F52">
        <v>220</v>
      </c>
      <c r="G52">
        <v>14740</v>
      </c>
      <c r="H52" t="s">
        <v>53</v>
      </c>
      <c r="I52" t="s">
        <v>6</v>
      </c>
      <c r="J52" t="s">
        <v>54</v>
      </c>
      <c r="K52" t="s">
        <v>33</v>
      </c>
      <c r="L52">
        <f t="shared" si="0"/>
        <v>2026</v>
      </c>
      <c r="M52">
        <f t="shared" si="1"/>
        <v>6</v>
      </c>
    </row>
    <row r="53" spans="1:13" x14ac:dyDescent="0.25">
      <c r="A53" t="s">
        <v>137</v>
      </c>
      <c r="B53" s="16">
        <v>46194</v>
      </c>
      <c r="C53" t="s">
        <v>56</v>
      </c>
      <c r="D53" t="s">
        <v>57</v>
      </c>
      <c r="E53">
        <v>28</v>
      </c>
      <c r="F53">
        <v>300</v>
      </c>
      <c r="G53">
        <v>8400</v>
      </c>
      <c r="H53" t="s">
        <v>58</v>
      </c>
      <c r="I53" t="s">
        <v>17</v>
      </c>
      <c r="J53" t="s">
        <v>59</v>
      </c>
      <c r="K53" t="s">
        <v>36</v>
      </c>
      <c r="L53">
        <f t="shared" si="0"/>
        <v>2026</v>
      </c>
      <c r="M53">
        <f t="shared" si="1"/>
        <v>6</v>
      </c>
    </row>
    <row r="54" spans="1:13" x14ac:dyDescent="0.25">
      <c r="A54" t="s">
        <v>138</v>
      </c>
      <c r="B54" s="16">
        <v>46195</v>
      </c>
      <c r="C54" t="s">
        <v>61</v>
      </c>
      <c r="D54" t="s">
        <v>62</v>
      </c>
      <c r="E54">
        <v>47</v>
      </c>
      <c r="F54">
        <v>250</v>
      </c>
      <c r="G54">
        <v>11750</v>
      </c>
      <c r="H54" t="s">
        <v>63</v>
      </c>
      <c r="I54" t="s">
        <v>17</v>
      </c>
      <c r="J54" t="s">
        <v>64</v>
      </c>
      <c r="K54" t="s">
        <v>35</v>
      </c>
      <c r="L54">
        <f t="shared" si="0"/>
        <v>2026</v>
      </c>
      <c r="M54">
        <f t="shared" si="1"/>
        <v>6</v>
      </c>
    </row>
    <row r="55" spans="1:13" x14ac:dyDescent="0.25">
      <c r="A55" t="s">
        <v>139</v>
      </c>
      <c r="B55" s="16">
        <v>46196</v>
      </c>
      <c r="C55" t="s">
        <v>91</v>
      </c>
      <c r="D55" t="s">
        <v>67</v>
      </c>
      <c r="E55">
        <v>30</v>
      </c>
      <c r="F55">
        <v>450</v>
      </c>
      <c r="G55">
        <v>13500</v>
      </c>
      <c r="H55" t="s">
        <v>68</v>
      </c>
      <c r="I55" t="s">
        <v>19</v>
      </c>
      <c r="J55" t="s">
        <v>69</v>
      </c>
      <c r="K55" t="s">
        <v>36</v>
      </c>
      <c r="L55">
        <f t="shared" si="0"/>
        <v>2026</v>
      </c>
      <c r="M55">
        <f t="shared" si="1"/>
        <v>6</v>
      </c>
    </row>
    <row r="56" spans="1:13" x14ac:dyDescent="0.25">
      <c r="A56" t="s">
        <v>140</v>
      </c>
      <c r="B56" s="16">
        <v>46197</v>
      </c>
      <c r="C56" t="s">
        <v>94</v>
      </c>
      <c r="D56" t="s">
        <v>72</v>
      </c>
      <c r="E56">
        <v>38</v>
      </c>
      <c r="F56">
        <v>700</v>
      </c>
      <c r="G56">
        <v>26600</v>
      </c>
      <c r="H56" t="s">
        <v>73</v>
      </c>
      <c r="I56" t="s">
        <v>6</v>
      </c>
      <c r="J56" t="s">
        <v>74</v>
      </c>
      <c r="K56" t="s">
        <v>34</v>
      </c>
      <c r="L56">
        <f t="shared" si="0"/>
        <v>2026</v>
      </c>
      <c r="M56">
        <f t="shared" si="1"/>
        <v>6</v>
      </c>
    </row>
    <row r="57" spans="1:13" x14ac:dyDescent="0.25">
      <c r="A57" t="s">
        <v>141</v>
      </c>
      <c r="B57" s="16">
        <v>46198</v>
      </c>
      <c r="C57" t="s">
        <v>97</v>
      </c>
      <c r="D57" t="s">
        <v>52</v>
      </c>
      <c r="E57">
        <v>50</v>
      </c>
      <c r="F57">
        <v>220</v>
      </c>
      <c r="G57">
        <v>11000</v>
      </c>
      <c r="H57" t="s">
        <v>53</v>
      </c>
      <c r="I57" t="s">
        <v>6</v>
      </c>
      <c r="J57" t="s">
        <v>77</v>
      </c>
      <c r="K57" t="s">
        <v>36</v>
      </c>
      <c r="L57">
        <f t="shared" si="0"/>
        <v>2026</v>
      </c>
      <c r="M57">
        <f t="shared" si="1"/>
        <v>6</v>
      </c>
    </row>
    <row r="58" spans="1:13" x14ac:dyDescent="0.25">
      <c r="A58" t="s">
        <v>142</v>
      </c>
      <c r="B58" s="16">
        <v>46199</v>
      </c>
      <c r="C58" t="s">
        <v>85</v>
      </c>
      <c r="D58" t="s">
        <v>57</v>
      </c>
      <c r="E58">
        <v>24</v>
      </c>
      <c r="F58">
        <v>300</v>
      </c>
      <c r="G58">
        <v>7200</v>
      </c>
      <c r="H58" t="s">
        <v>58</v>
      </c>
      <c r="I58" t="s">
        <v>17</v>
      </c>
      <c r="J58" t="s">
        <v>80</v>
      </c>
      <c r="K58" t="s">
        <v>35</v>
      </c>
      <c r="L58">
        <f t="shared" si="0"/>
        <v>2026</v>
      </c>
      <c r="M58">
        <f t="shared" si="1"/>
        <v>6</v>
      </c>
    </row>
    <row r="59" spans="1:13" x14ac:dyDescent="0.25">
      <c r="A59" t="s">
        <v>143</v>
      </c>
      <c r="B59" s="16">
        <v>46200</v>
      </c>
      <c r="C59" t="s">
        <v>88</v>
      </c>
      <c r="D59" t="s">
        <v>62</v>
      </c>
      <c r="E59">
        <v>64</v>
      </c>
      <c r="F59">
        <v>250</v>
      </c>
      <c r="G59">
        <v>16000</v>
      </c>
      <c r="H59" t="s">
        <v>63</v>
      </c>
      <c r="I59" t="s">
        <v>17</v>
      </c>
      <c r="J59" t="s">
        <v>83</v>
      </c>
      <c r="K59" t="s">
        <v>33</v>
      </c>
      <c r="L59">
        <f t="shared" si="0"/>
        <v>2026</v>
      </c>
      <c r="M59">
        <f t="shared" si="1"/>
        <v>6</v>
      </c>
    </row>
    <row r="60" spans="1:13" x14ac:dyDescent="0.25">
      <c r="A60" t="s">
        <v>144</v>
      </c>
      <c r="B60" s="16">
        <v>46201</v>
      </c>
      <c r="C60" t="s">
        <v>91</v>
      </c>
      <c r="D60" t="s">
        <v>67</v>
      </c>
      <c r="E60">
        <v>77</v>
      </c>
      <c r="F60">
        <v>450</v>
      </c>
      <c r="G60">
        <v>34650</v>
      </c>
      <c r="H60" t="s">
        <v>68</v>
      </c>
      <c r="I60" t="s">
        <v>19</v>
      </c>
      <c r="J60" t="s">
        <v>86</v>
      </c>
      <c r="K60" t="s">
        <v>34</v>
      </c>
      <c r="L60">
        <f t="shared" si="0"/>
        <v>2026</v>
      </c>
      <c r="M60">
        <f t="shared" si="1"/>
        <v>6</v>
      </c>
    </row>
    <row r="61" spans="1:13" x14ac:dyDescent="0.25">
      <c r="A61" t="s">
        <v>145</v>
      </c>
      <c r="B61" s="16">
        <v>46202</v>
      </c>
      <c r="C61" t="s">
        <v>94</v>
      </c>
      <c r="D61" t="s">
        <v>72</v>
      </c>
      <c r="E61">
        <v>76</v>
      </c>
      <c r="F61">
        <v>700</v>
      </c>
      <c r="G61">
        <v>53200</v>
      </c>
      <c r="H61" t="s">
        <v>73</v>
      </c>
      <c r="I61" t="s">
        <v>6</v>
      </c>
      <c r="J61" t="s">
        <v>89</v>
      </c>
      <c r="K61" t="s">
        <v>34</v>
      </c>
      <c r="L61">
        <f t="shared" si="0"/>
        <v>2026</v>
      </c>
      <c r="M61">
        <f t="shared" si="1"/>
        <v>6</v>
      </c>
    </row>
    <row r="62" spans="1:13" x14ac:dyDescent="0.25">
      <c r="A62" t="s">
        <v>146</v>
      </c>
      <c r="B62" s="16">
        <v>46203</v>
      </c>
      <c r="C62" t="s">
        <v>51</v>
      </c>
      <c r="D62" t="s">
        <v>52</v>
      </c>
      <c r="E62">
        <v>79</v>
      </c>
      <c r="F62">
        <v>220</v>
      </c>
      <c r="G62">
        <v>17380</v>
      </c>
      <c r="H62" t="s">
        <v>53</v>
      </c>
      <c r="I62" t="s">
        <v>6</v>
      </c>
      <c r="J62" t="s">
        <v>92</v>
      </c>
      <c r="K62" t="s">
        <v>34</v>
      </c>
      <c r="L62">
        <f t="shared" si="0"/>
        <v>2026</v>
      </c>
      <c r="M62">
        <f t="shared" si="1"/>
        <v>6</v>
      </c>
    </row>
    <row r="63" spans="1:13" x14ac:dyDescent="0.25">
      <c r="A63" t="s">
        <v>147</v>
      </c>
      <c r="B63" s="16">
        <v>46204</v>
      </c>
      <c r="C63" t="s">
        <v>56</v>
      </c>
      <c r="D63" t="s">
        <v>57</v>
      </c>
      <c r="E63">
        <v>32</v>
      </c>
      <c r="F63">
        <v>300</v>
      </c>
      <c r="G63">
        <v>9600</v>
      </c>
      <c r="H63" t="s">
        <v>58</v>
      </c>
      <c r="I63" t="s">
        <v>17</v>
      </c>
      <c r="J63" t="s">
        <v>95</v>
      </c>
      <c r="K63" t="s">
        <v>34</v>
      </c>
      <c r="L63">
        <f t="shared" si="0"/>
        <v>2026</v>
      </c>
      <c r="M63">
        <f t="shared" si="1"/>
        <v>7</v>
      </c>
    </row>
    <row r="64" spans="1:13" x14ac:dyDescent="0.25">
      <c r="A64" t="s">
        <v>148</v>
      </c>
      <c r="B64" s="16">
        <v>46205</v>
      </c>
      <c r="C64" t="s">
        <v>61</v>
      </c>
      <c r="D64" t="s">
        <v>62</v>
      </c>
      <c r="E64">
        <v>44</v>
      </c>
      <c r="F64">
        <v>250</v>
      </c>
      <c r="G64">
        <v>11000</v>
      </c>
      <c r="H64" t="s">
        <v>63</v>
      </c>
      <c r="I64" t="s">
        <v>17</v>
      </c>
      <c r="J64" t="s">
        <v>98</v>
      </c>
      <c r="K64" t="s">
        <v>33</v>
      </c>
      <c r="L64">
        <f t="shared" si="0"/>
        <v>2026</v>
      </c>
      <c r="M64">
        <f t="shared" si="1"/>
        <v>7</v>
      </c>
    </row>
    <row r="65" spans="1:13" x14ac:dyDescent="0.25">
      <c r="A65" t="s">
        <v>149</v>
      </c>
      <c r="B65" s="16">
        <v>46206</v>
      </c>
      <c r="C65" t="s">
        <v>66</v>
      </c>
      <c r="D65" t="s">
        <v>67</v>
      </c>
      <c r="E65">
        <v>70</v>
      </c>
      <c r="F65">
        <v>450</v>
      </c>
      <c r="G65">
        <v>31500</v>
      </c>
      <c r="H65" t="s">
        <v>68</v>
      </c>
      <c r="I65" t="s">
        <v>19</v>
      </c>
      <c r="J65" t="s">
        <v>54</v>
      </c>
      <c r="K65" t="s">
        <v>33</v>
      </c>
      <c r="L65">
        <f t="shared" si="0"/>
        <v>2026</v>
      </c>
      <c r="M65">
        <f t="shared" si="1"/>
        <v>7</v>
      </c>
    </row>
    <row r="66" spans="1:13" x14ac:dyDescent="0.25">
      <c r="A66" t="s">
        <v>150</v>
      </c>
      <c r="B66" s="16">
        <v>46207</v>
      </c>
      <c r="C66" t="s">
        <v>97</v>
      </c>
      <c r="D66" t="s">
        <v>72</v>
      </c>
      <c r="E66">
        <v>59</v>
      </c>
      <c r="F66">
        <v>700</v>
      </c>
      <c r="G66">
        <v>41300</v>
      </c>
      <c r="H66" t="s">
        <v>73</v>
      </c>
      <c r="I66" t="s">
        <v>6</v>
      </c>
      <c r="J66" t="s">
        <v>59</v>
      </c>
      <c r="K66" t="s">
        <v>36</v>
      </c>
      <c r="L66">
        <f t="shared" ref="L66:L129" si="2">YEAR(B66)</f>
        <v>2026</v>
      </c>
      <c r="M66">
        <f t="shared" ref="M66:M129" si="3">MONTH(B66)</f>
        <v>7</v>
      </c>
    </row>
    <row r="67" spans="1:13" x14ac:dyDescent="0.25">
      <c r="A67" t="s">
        <v>151</v>
      </c>
      <c r="B67" s="16">
        <v>46208</v>
      </c>
      <c r="C67" t="s">
        <v>88</v>
      </c>
      <c r="D67" t="s">
        <v>52</v>
      </c>
      <c r="E67">
        <v>55</v>
      </c>
      <c r="F67">
        <v>220</v>
      </c>
      <c r="G67">
        <v>12100</v>
      </c>
      <c r="H67" t="s">
        <v>53</v>
      </c>
      <c r="I67" t="s">
        <v>6</v>
      </c>
      <c r="J67" t="s">
        <v>64</v>
      </c>
      <c r="K67" t="s">
        <v>35</v>
      </c>
      <c r="L67">
        <f t="shared" si="2"/>
        <v>2026</v>
      </c>
      <c r="M67">
        <f t="shared" si="3"/>
        <v>7</v>
      </c>
    </row>
    <row r="68" spans="1:13" x14ac:dyDescent="0.25">
      <c r="A68" t="s">
        <v>152</v>
      </c>
      <c r="B68" s="16">
        <v>46209</v>
      </c>
      <c r="C68" t="s">
        <v>91</v>
      </c>
      <c r="D68" t="s">
        <v>57</v>
      </c>
      <c r="E68">
        <v>54</v>
      </c>
      <c r="F68">
        <v>300</v>
      </c>
      <c r="G68">
        <v>16200</v>
      </c>
      <c r="H68" t="s">
        <v>58</v>
      </c>
      <c r="I68" t="s">
        <v>17</v>
      </c>
      <c r="J68" t="s">
        <v>69</v>
      </c>
      <c r="K68" t="s">
        <v>36</v>
      </c>
      <c r="L68">
        <f t="shared" si="2"/>
        <v>2026</v>
      </c>
      <c r="M68">
        <f t="shared" si="3"/>
        <v>7</v>
      </c>
    </row>
    <row r="69" spans="1:13" x14ac:dyDescent="0.25">
      <c r="A69" t="s">
        <v>153</v>
      </c>
      <c r="B69" s="16">
        <v>46210</v>
      </c>
      <c r="C69" t="s">
        <v>94</v>
      </c>
      <c r="D69" t="s">
        <v>62</v>
      </c>
      <c r="E69">
        <v>70</v>
      </c>
      <c r="F69">
        <v>250</v>
      </c>
      <c r="G69">
        <v>17500</v>
      </c>
      <c r="H69" t="s">
        <v>63</v>
      </c>
      <c r="I69" t="s">
        <v>17</v>
      </c>
      <c r="J69" t="s">
        <v>74</v>
      </c>
      <c r="K69" t="s">
        <v>34</v>
      </c>
      <c r="L69">
        <f t="shared" si="2"/>
        <v>2026</v>
      </c>
      <c r="M69">
        <f t="shared" si="3"/>
        <v>7</v>
      </c>
    </row>
    <row r="70" spans="1:13" x14ac:dyDescent="0.25">
      <c r="A70" t="s">
        <v>154</v>
      </c>
      <c r="B70" s="16">
        <v>46211</v>
      </c>
      <c r="C70" t="s">
        <v>51</v>
      </c>
      <c r="D70" t="s">
        <v>67</v>
      </c>
      <c r="E70">
        <v>59</v>
      </c>
      <c r="F70">
        <v>450</v>
      </c>
      <c r="G70">
        <v>26550</v>
      </c>
      <c r="H70" t="s">
        <v>68</v>
      </c>
      <c r="I70" t="s">
        <v>19</v>
      </c>
      <c r="J70" t="s">
        <v>77</v>
      </c>
      <c r="K70" t="s">
        <v>36</v>
      </c>
      <c r="L70">
        <f t="shared" si="2"/>
        <v>2026</v>
      </c>
      <c r="M70">
        <f t="shared" si="3"/>
        <v>7</v>
      </c>
    </row>
    <row r="71" spans="1:13" x14ac:dyDescent="0.25">
      <c r="A71" t="s">
        <v>155</v>
      </c>
      <c r="B71" s="16">
        <v>46212</v>
      </c>
      <c r="C71" t="s">
        <v>56</v>
      </c>
      <c r="D71" t="s">
        <v>72</v>
      </c>
      <c r="E71">
        <v>23</v>
      </c>
      <c r="F71">
        <v>700</v>
      </c>
      <c r="G71">
        <v>16100</v>
      </c>
      <c r="H71" t="s">
        <v>73</v>
      </c>
      <c r="I71" t="s">
        <v>6</v>
      </c>
      <c r="J71" t="s">
        <v>80</v>
      </c>
      <c r="K71" t="s">
        <v>35</v>
      </c>
      <c r="L71">
        <f t="shared" si="2"/>
        <v>2026</v>
      </c>
      <c r="M71">
        <f t="shared" si="3"/>
        <v>7</v>
      </c>
    </row>
    <row r="72" spans="1:13" x14ac:dyDescent="0.25">
      <c r="A72" t="s">
        <v>156</v>
      </c>
      <c r="B72" s="16">
        <v>46213</v>
      </c>
      <c r="C72" t="s">
        <v>61</v>
      </c>
      <c r="D72" t="s">
        <v>52</v>
      </c>
      <c r="E72">
        <v>71</v>
      </c>
      <c r="F72">
        <v>220</v>
      </c>
      <c r="G72">
        <v>15620</v>
      </c>
      <c r="H72" t="s">
        <v>53</v>
      </c>
      <c r="I72" t="s">
        <v>6</v>
      </c>
      <c r="J72" t="s">
        <v>83</v>
      </c>
      <c r="K72" t="s">
        <v>33</v>
      </c>
      <c r="L72">
        <f t="shared" si="2"/>
        <v>2026</v>
      </c>
      <c r="M72">
        <f t="shared" si="3"/>
        <v>7</v>
      </c>
    </row>
    <row r="73" spans="1:13" x14ac:dyDescent="0.25">
      <c r="A73" t="s">
        <v>157</v>
      </c>
      <c r="B73" s="16">
        <v>46214</v>
      </c>
      <c r="C73" t="s">
        <v>66</v>
      </c>
      <c r="D73" t="s">
        <v>57</v>
      </c>
      <c r="E73">
        <v>77</v>
      </c>
      <c r="F73">
        <v>300</v>
      </c>
      <c r="G73">
        <v>23100</v>
      </c>
      <c r="H73" t="s">
        <v>58</v>
      </c>
      <c r="I73" t="s">
        <v>17</v>
      </c>
      <c r="J73" t="s">
        <v>86</v>
      </c>
      <c r="K73" t="s">
        <v>34</v>
      </c>
      <c r="L73">
        <f t="shared" si="2"/>
        <v>2026</v>
      </c>
      <c r="M73">
        <f t="shared" si="3"/>
        <v>7</v>
      </c>
    </row>
    <row r="74" spans="1:13" x14ac:dyDescent="0.25">
      <c r="A74" t="s">
        <v>158</v>
      </c>
      <c r="B74" s="16">
        <v>46215</v>
      </c>
      <c r="C74" t="s">
        <v>71</v>
      </c>
      <c r="D74" t="s">
        <v>62</v>
      </c>
      <c r="E74">
        <v>23</v>
      </c>
      <c r="F74">
        <v>250</v>
      </c>
      <c r="G74">
        <v>5750</v>
      </c>
      <c r="H74" t="s">
        <v>63</v>
      </c>
      <c r="I74" t="s">
        <v>17</v>
      </c>
      <c r="J74" t="s">
        <v>89</v>
      </c>
      <c r="K74" t="s">
        <v>34</v>
      </c>
      <c r="L74">
        <f t="shared" si="2"/>
        <v>2026</v>
      </c>
      <c r="M74">
        <f t="shared" si="3"/>
        <v>7</v>
      </c>
    </row>
    <row r="75" spans="1:13" x14ac:dyDescent="0.25">
      <c r="A75" t="s">
        <v>159</v>
      </c>
      <c r="B75" s="16">
        <v>46216</v>
      </c>
      <c r="C75" t="s">
        <v>51</v>
      </c>
      <c r="D75" t="s">
        <v>67</v>
      </c>
      <c r="E75">
        <v>71</v>
      </c>
      <c r="F75">
        <v>450</v>
      </c>
      <c r="G75">
        <v>31950</v>
      </c>
      <c r="H75" t="s">
        <v>68</v>
      </c>
      <c r="I75" t="s">
        <v>19</v>
      </c>
      <c r="J75" t="s">
        <v>92</v>
      </c>
      <c r="K75" t="s">
        <v>34</v>
      </c>
      <c r="L75">
        <f t="shared" si="2"/>
        <v>2026</v>
      </c>
      <c r="M75">
        <f t="shared" si="3"/>
        <v>7</v>
      </c>
    </row>
    <row r="76" spans="1:13" x14ac:dyDescent="0.25">
      <c r="A76" t="s">
        <v>160</v>
      </c>
      <c r="B76" s="16">
        <v>46217</v>
      </c>
      <c r="C76" t="s">
        <v>56</v>
      </c>
      <c r="D76" t="s">
        <v>72</v>
      </c>
      <c r="E76">
        <v>53</v>
      </c>
      <c r="F76">
        <v>700</v>
      </c>
      <c r="G76">
        <v>37100</v>
      </c>
      <c r="H76" t="s">
        <v>73</v>
      </c>
      <c r="I76" t="s">
        <v>6</v>
      </c>
      <c r="J76" t="s">
        <v>95</v>
      </c>
      <c r="K76" t="s">
        <v>34</v>
      </c>
      <c r="L76">
        <f t="shared" si="2"/>
        <v>2026</v>
      </c>
      <c r="M76">
        <f t="shared" si="3"/>
        <v>7</v>
      </c>
    </row>
    <row r="77" spans="1:13" x14ac:dyDescent="0.25">
      <c r="A77" t="s">
        <v>161</v>
      </c>
      <c r="B77" s="16">
        <v>46218</v>
      </c>
      <c r="C77" t="s">
        <v>61</v>
      </c>
      <c r="D77" t="s">
        <v>52</v>
      </c>
      <c r="E77">
        <v>38</v>
      </c>
      <c r="F77">
        <v>220</v>
      </c>
      <c r="G77">
        <v>8360</v>
      </c>
      <c r="H77" t="s">
        <v>53</v>
      </c>
      <c r="I77" t="s">
        <v>6</v>
      </c>
      <c r="J77" t="s">
        <v>98</v>
      </c>
      <c r="K77" t="s">
        <v>33</v>
      </c>
      <c r="L77">
        <f t="shared" si="2"/>
        <v>2026</v>
      </c>
      <c r="M77">
        <f t="shared" si="3"/>
        <v>7</v>
      </c>
    </row>
    <row r="78" spans="1:13" x14ac:dyDescent="0.25">
      <c r="A78" t="s">
        <v>162</v>
      </c>
      <c r="B78" s="16">
        <v>46219</v>
      </c>
      <c r="C78" t="s">
        <v>91</v>
      </c>
      <c r="D78" t="s">
        <v>57</v>
      </c>
      <c r="E78">
        <v>66</v>
      </c>
      <c r="F78">
        <v>300</v>
      </c>
      <c r="G78">
        <v>19800</v>
      </c>
      <c r="H78" t="s">
        <v>58</v>
      </c>
      <c r="I78" t="s">
        <v>17</v>
      </c>
      <c r="J78" t="s">
        <v>86</v>
      </c>
      <c r="K78" t="s">
        <v>34</v>
      </c>
      <c r="L78">
        <f t="shared" si="2"/>
        <v>2026</v>
      </c>
      <c r="M78">
        <f t="shared" si="3"/>
        <v>7</v>
      </c>
    </row>
    <row r="79" spans="1:13" x14ac:dyDescent="0.25">
      <c r="A79" t="s">
        <v>163</v>
      </c>
      <c r="B79" s="16">
        <v>46220</v>
      </c>
      <c r="C79" t="s">
        <v>94</v>
      </c>
      <c r="D79" t="s">
        <v>62</v>
      </c>
      <c r="E79">
        <v>50</v>
      </c>
      <c r="F79">
        <v>250</v>
      </c>
      <c r="G79">
        <v>12500</v>
      </c>
      <c r="H79" t="s">
        <v>63</v>
      </c>
      <c r="I79" t="s">
        <v>17</v>
      </c>
      <c r="J79" t="s">
        <v>89</v>
      </c>
      <c r="K79" t="s">
        <v>34</v>
      </c>
      <c r="L79">
        <f t="shared" si="2"/>
        <v>2026</v>
      </c>
      <c r="M79">
        <f t="shared" si="3"/>
        <v>7</v>
      </c>
    </row>
    <row r="80" spans="1:13" x14ac:dyDescent="0.25">
      <c r="A80" t="s">
        <v>164</v>
      </c>
      <c r="B80" s="16">
        <v>46221</v>
      </c>
      <c r="C80" t="s">
        <v>97</v>
      </c>
      <c r="D80" t="s">
        <v>67</v>
      </c>
      <c r="E80">
        <v>36</v>
      </c>
      <c r="F80">
        <v>450</v>
      </c>
      <c r="G80">
        <v>16200</v>
      </c>
      <c r="H80" t="s">
        <v>68</v>
      </c>
      <c r="I80" t="s">
        <v>19</v>
      </c>
      <c r="J80" t="s">
        <v>92</v>
      </c>
      <c r="K80" t="s">
        <v>34</v>
      </c>
      <c r="L80">
        <f t="shared" si="2"/>
        <v>2026</v>
      </c>
      <c r="M80">
        <f t="shared" si="3"/>
        <v>7</v>
      </c>
    </row>
    <row r="81" spans="1:13" x14ac:dyDescent="0.25">
      <c r="A81" t="s">
        <v>165</v>
      </c>
      <c r="B81" s="16">
        <v>46222</v>
      </c>
      <c r="C81" t="s">
        <v>85</v>
      </c>
      <c r="D81" t="s">
        <v>72</v>
      </c>
      <c r="E81">
        <v>27</v>
      </c>
      <c r="F81">
        <v>700</v>
      </c>
      <c r="G81">
        <v>18900</v>
      </c>
      <c r="H81" t="s">
        <v>73</v>
      </c>
      <c r="I81" t="s">
        <v>6</v>
      </c>
      <c r="J81" t="s">
        <v>95</v>
      </c>
      <c r="K81" t="s">
        <v>34</v>
      </c>
      <c r="L81">
        <f t="shared" si="2"/>
        <v>2026</v>
      </c>
      <c r="M81">
        <f t="shared" si="3"/>
        <v>7</v>
      </c>
    </row>
    <row r="82" spans="1:13" x14ac:dyDescent="0.25">
      <c r="A82" t="s">
        <v>166</v>
      </c>
      <c r="B82" s="16">
        <v>46223</v>
      </c>
      <c r="C82" t="s">
        <v>88</v>
      </c>
      <c r="D82" t="s">
        <v>52</v>
      </c>
      <c r="E82">
        <v>40</v>
      </c>
      <c r="F82">
        <v>220</v>
      </c>
      <c r="G82">
        <v>8800</v>
      </c>
      <c r="H82" t="s">
        <v>53</v>
      </c>
      <c r="I82" t="s">
        <v>6</v>
      </c>
      <c r="J82" t="s">
        <v>54</v>
      </c>
      <c r="K82" t="s">
        <v>33</v>
      </c>
      <c r="L82">
        <f t="shared" si="2"/>
        <v>2026</v>
      </c>
      <c r="M82">
        <f t="shared" si="3"/>
        <v>7</v>
      </c>
    </row>
    <row r="83" spans="1:13" x14ac:dyDescent="0.25">
      <c r="A83" t="s">
        <v>167</v>
      </c>
      <c r="B83" s="16">
        <v>46224</v>
      </c>
      <c r="C83" t="s">
        <v>91</v>
      </c>
      <c r="D83" t="s">
        <v>57</v>
      </c>
      <c r="E83">
        <v>66</v>
      </c>
      <c r="F83">
        <v>300</v>
      </c>
      <c r="G83">
        <v>19800</v>
      </c>
      <c r="H83" t="s">
        <v>58</v>
      </c>
      <c r="I83" t="s">
        <v>17</v>
      </c>
      <c r="J83" t="s">
        <v>59</v>
      </c>
      <c r="K83" t="s">
        <v>36</v>
      </c>
      <c r="L83">
        <f t="shared" si="2"/>
        <v>2026</v>
      </c>
      <c r="M83">
        <f t="shared" si="3"/>
        <v>7</v>
      </c>
    </row>
    <row r="84" spans="1:13" x14ac:dyDescent="0.25">
      <c r="A84" t="s">
        <v>168</v>
      </c>
      <c r="B84" s="16">
        <v>46225</v>
      </c>
      <c r="C84" t="s">
        <v>94</v>
      </c>
      <c r="D84" t="s">
        <v>62</v>
      </c>
      <c r="E84">
        <v>36</v>
      </c>
      <c r="F84">
        <v>250</v>
      </c>
      <c r="G84">
        <v>9000</v>
      </c>
      <c r="H84" t="s">
        <v>63</v>
      </c>
      <c r="I84" t="s">
        <v>17</v>
      </c>
      <c r="J84" t="s">
        <v>64</v>
      </c>
      <c r="K84" t="s">
        <v>35</v>
      </c>
      <c r="L84">
        <f t="shared" si="2"/>
        <v>2026</v>
      </c>
      <c r="M84">
        <f t="shared" si="3"/>
        <v>7</v>
      </c>
    </row>
    <row r="85" spans="1:13" x14ac:dyDescent="0.25">
      <c r="A85" t="s">
        <v>169</v>
      </c>
      <c r="B85" s="16">
        <v>46226</v>
      </c>
      <c r="C85" t="s">
        <v>51</v>
      </c>
      <c r="D85" t="s">
        <v>67</v>
      </c>
      <c r="E85">
        <v>54</v>
      </c>
      <c r="F85">
        <v>450</v>
      </c>
      <c r="G85">
        <v>24300</v>
      </c>
      <c r="H85" t="s">
        <v>68</v>
      </c>
      <c r="I85" t="s">
        <v>19</v>
      </c>
      <c r="J85" t="s">
        <v>69</v>
      </c>
      <c r="K85" t="s">
        <v>36</v>
      </c>
      <c r="L85">
        <f t="shared" si="2"/>
        <v>2026</v>
      </c>
      <c r="M85">
        <f t="shared" si="3"/>
        <v>7</v>
      </c>
    </row>
    <row r="86" spans="1:13" x14ac:dyDescent="0.25">
      <c r="A86" t="s">
        <v>170</v>
      </c>
      <c r="B86" s="16">
        <v>46227</v>
      </c>
      <c r="C86" t="s">
        <v>56</v>
      </c>
      <c r="D86" t="s">
        <v>72</v>
      </c>
      <c r="E86">
        <v>43</v>
      </c>
      <c r="F86">
        <v>700</v>
      </c>
      <c r="G86">
        <v>30100</v>
      </c>
      <c r="H86" t="s">
        <v>73</v>
      </c>
      <c r="I86" t="s">
        <v>6</v>
      </c>
      <c r="J86" t="s">
        <v>74</v>
      </c>
      <c r="K86" t="s">
        <v>34</v>
      </c>
      <c r="L86">
        <f t="shared" si="2"/>
        <v>2026</v>
      </c>
      <c r="M86">
        <f t="shared" si="3"/>
        <v>7</v>
      </c>
    </row>
    <row r="87" spans="1:13" x14ac:dyDescent="0.25">
      <c r="A87" t="s">
        <v>171</v>
      </c>
      <c r="B87" s="16">
        <v>46228</v>
      </c>
      <c r="C87" t="s">
        <v>61</v>
      </c>
      <c r="D87" t="s">
        <v>52</v>
      </c>
      <c r="E87">
        <v>21</v>
      </c>
      <c r="F87">
        <v>220</v>
      </c>
      <c r="G87">
        <v>4620</v>
      </c>
      <c r="H87" t="s">
        <v>53</v>
      </c>
      <c r="I87" t="s">
        <v>6</v>
      </c>
      <c r="J87" t="s">
        <v>54</v>
      </c>
      <c r="K87" t="s">
        <v>33</v>
      </c>
      <c r="L87">
        <f t="shared" si="2"/>
        <v>2026</v>
      </c>
      <c r="M87">
        <f t="shared" si="3"/>
        <v>7</v>
      </c>
    </row>
    <row r="88" spans="1:13" x14ac:dyDescent="0.25">
      <c r="A88" t="s">
        <v>172</v>
      </c>
      <c r="B88" s="16">
        <v>46229</v>
      </c>
      <c r="C88" t="s">
        <v>66</v>
      </c>
      <c r="D88" t="s">
        <v>57</v>
      </c>
      <c r="E88">
        <v>30</v>
      </c>
      <c r="F88">
        <v>300</v>
      </c>
      <c r="G88">
        <v>9000</v>
      </c>
      <c r="H88" t="s">
        <v>58</v>
      </c>
      <c r="I88" t="s">
        <v>17</v>
      </c>
      <c r="J88" t="s">
        <v>59</v>
      </c>
      <c r="K88" t="s">
        <v>36</v>
      </c>
      <c r="L88">
        <f t="shared" si="2"/>
        <v>2026</v>
      </c>
      <c r="M88">
        <f t="shared" si="3"/>
        <v>7</v>
      </c>
    </row>
    <row r="89" spans="1:13" x14ac:dyDescent="0.25">
      <c r="A89" t="s">
        <v>173</v>
      </c>
      <c r="B89" s="16">
        <v>46230</v>
      </c>
      <c r="C89" t="s">
        <v>97</v>
      </c>
      <c r="D89" t="s">
        <v>62</v>
      </c>
      <c r="E89">
        <v>22</v>
      </c>
      <c r="F89">
        <v>250</v>
      </c>
      <c r="G89">
        <v>5500</v>
      </c>
      <c r="H89" t="s">
        <v>63</v>
      </c>
      <c r="I89" t="s">
        <v>17</v>
      </c>
      <c r="J89" t="s">
        <v>64</v>
      </c>
      <c r="K89" t="s">
        <v>35</v>
      </c>
      <c r="L89">
        <f t="shared" si="2"/>
        <v>2026</v>
      </c>
      <c r="M89">
        <f t="shared" si="3"/>
        <v>7</v>
      </c>
    </row>
    <row r="90" spans="1:13" x14ac:dyDescent="0.25">
      <c r="A90" t="s">
        <v>174</v>
      </c>
      <c r="B90" s="16">
        <v>46231</v>
      </c>
      <c r="C90" t="s">
        <v>51</v>
      </c>
      <c r="D90" t="s">
        <v>67</v>
      </c>
      <c r="E90">
        <v>46</v>
      </c>
      <c r="F90">
        <v>450</v>
      </c>
      <c r="G90">
        <v>20700</v>
      </c>
      <c r="H90" t="s">
        <v>68</v>
      </c>
      <c r="I90" t="s">
        <v>19</v>
      </c>
      <c r="J90" t="s">
        <v>92</v>
      </c>
      <c r="K90" t="s">
        <v>34</v>
      </c>
      <c r="L90">
        <f t="shared" si="2"/>
        <v>2026</v>
      </c>
      <c r="M90">
        <f t="shared" si="3"/>
        <v>7</v>
      </c>
    </row>
    <row r="91" spans="1:13" x14ac:dyDescent="0.25">
      <c r="A91" t="s">
        <v>175</v>
      </c>
      <c r="B91" s="16">
        <v>46232</v>
      </c>
      <c r="C91" t="s">
        <v>56</v>
      </c>
      <c r="D91" t="s">
        <v>72</v>
      </c>
      <c r="E91">
        <v>47</v>
      </c>
      <c r="F91">
        <v>700</v>
      </c>
      <c r="G91">
        <v>32900</v>
      </c>
      <c r="H91" t="s">
        <v>73</v>
      </c>
      <c r="I91" t="s">
        <v>6</v>
      </c>
      <c r="J91" t="s">
        <v>95</v>
      </c>
      <c r="K91" t="s">
        <v>34</v>
      </c>
      <c r="L91">
        <f t="shared" si="2"/>
        <v>2026</v>
      </c>
      <c r="M91">
        <f t="shared" si="3"/>
        <v>7</v>
      </c>
    </row>
    <row r="92" spans="1:13" x14ac:dyDescent="0.25">
      <c r="A92" t="s">
        <v>176</v>
      </c>
      <c r="B92" s="16">
        <v>46233</v>
      </c>
      <c r="C92" t="s">
        <v>61</v>
      </c>
      <c r="D92" t="s">
        <v>52</v>
      </c>
      <c r="E92">
        <v>21</v>
      </c>
      <c r="F92">
        <v>220</v>
      </c>
      <c r="G92">
        <v>4620</v>
      </c>
      <c r="H92" t="s">
        <v>53</v>
      </c>
      <c r="I92" t="s">
        <v>6</v>
      </c>
      <c r="J92" t="s">
        <v>98</v>
      </c>
      <c r="K92" t="s">
        <v>33</v>
      </c>
      <c r="L92">
        <f t="shared" si="2"/>
        <v>2026</v>
      </c>
      <c r="M92">
        <f t="shared" si="3"/>
        <v>7</v>
      </c>
    </row>
    <row r="93" spans="1:13" x14ac:dyDescent="0.25">
      <c r="A93" t="s">
        <v>177</v>
      </c>
      <c r="B93" s="16">
        <v>46234</v>
      </c>
      <c r="C93" t="s">
        <v>91</v>
      </c>
      <c r="D93" t="s">
        <v>57</v>
      </c>
      <c r="E93">
        <v>37</v>
      </c>
      <c r="F93">
        <v>300</v>
      </c>
      <c r="G93">
        <v>11100</v>
      </c>
      <c r="H93" t="s">
        <v>58</v>
      </c>
      <c r="I93" t="s">
        <v>17</v>
      </c>
      <c r="J93" t="s">
        <v>86</v>
      </c>
      <c r="K93" t="s">
        <v>34</v>
      </c>
      <c r="L93">
        <f t="shared" si="2"/>
        <v>2026</v>
      </c>
      <c r="M93">
        <f t="shared" si="3"/>
        <v>7</v>
      </c>
    </row>
    <row r="94" spans="1:13" x14ac:dyDescent="0.25">
      <c r="A94" t="s">
        <v>178</v>
      </c>
      <c r="B94" s="16">
        <v>46235</v>
      </c>
      <c r="C94" t="s">
        <v>94</v>
      </c>
      <c r="D94" t="s">
        <v>62</v>
      </c>
      <c r="E94">
        <v>43</v>
      </c>
      <c r="F94">
        <v>250</v>
      </c>
      <c r="G94">
        <v>10750</v>
      </c>
      <c r="H94" t="s">
        <v>63</v>
      </c>
      <c r="I94" t="s">
        <v>17</v>
      </c>
      <c r="J94" t="s">
        <v>89</v>
      </c>
      <c r="K94" t="s">
        <v>34</v>
      </c>
      <c r="L94">
        <f t="shared" si="2"/>
        <v>2026</v>
      </c>
      <c r="M94">
        <f t="shared" si="3"/>
        <v>8</v>
      </c>
    </row>
    <row r="95" spans="1:13" x14ac:dyDescent="0.25">
      <c r="A95" t="s">
        <v>179</v>
      </c>
      <c r="B95" s="16">
        <v>46236</v>
      </c>
      <c r="C95" t="s">
        <v>97</v>
      </c>
      <c r="D95" t="s">
        <v>67</v>
      </c>
      <c r="E95">
        <v>25</v>
      </c>
      <c r="F95">
        <v>450</v>
      </c>
      <c r="G95">
        <v>11250</v>
      </c>
      <c r="H95" t="s">
        <v>68</v>
      </c>
      <c r="I95" t="s">
        <v>19</v>
      </c>
      <c r="J95" t="s">
        <v>92</v>
      </c>
      <c r="K95" t="s">
        <v>34</v>
      </c>
      <c r="L95">
        <f t="shared" si="2"/>
        <v>2026</v>
      </c>
      <c r="M95">
        <f t="shared" si="3"/>
        <v>8</v>
      </c>
    </row>
    <row r="96" spans="1:13" x14ac:dyDescent="0.25">
      <c r="A96" t="s">
        <v>180</v>
      </c>
      <c r="B96" s="16">
        <v>46237</v>
      </c>
      <c r="C96" t="s">
        <v>85</v>
      </c>
      <c r="D96" t="s">
        <v>72</v>
      </c>
      <c r="E96">
        <v>24</v>
      </c>
      <c r="F96">
        <v>700</v>
      </c>
      <c r="G96">
        <v>16800</v>
      </c>
      <c r="H96" t="s">
        <v>73</v>
      </c>
      <c r="I96" t="s">
        <v>6</v>
      </c>
      <c r="J96" t="s">
        <v>95</v>
      </c>
      <c r="K96" t="s">
        <v>34</v>
      </c>
      <c r="L96">
        <f t="shared" si="2"/>
        <v>2026</v>
      </c>
      <c r="M96">
        <f t="shared" si="3"/>
        <v>8</v>
      </c>
    </row>
    <row r="97" spans="1:13" x14ac:dyDescent="0.25">
      <c r="A97" t="s">
        <v>181</v>
      </c>
      <c r="B97" s="16">
        <v>46238</v>
      </c>
      <c r="C97" t="s">
        <v>88</v>
      </c>
      <c r="D97" t="s">
        <v>52</v>
      </c>
      <c r="E97">
        <v>38</v>
      </c>
      <c r="F97">
        <v>220</v>
      </c>
      <c r="G97">
        <v>8360</v>
      </c>
      <c r="H97" t="s">
        <v>53</v>
      </c>
      <c r="I97" t="s">
        <v>6</v>
      </c>
      <c r="J97" t="s">
        <v>54</v>
      </c>
      <c r="K97" t="s">
        <v>33</v>
      </c>
      <c r="L97">
        <f t="shared" si="2"/>
        <v>2026</v>
      </c>
      <c r="M97">
        <f t="shared" si="3"/>
        <v>8</v>
      </c>
    </row>
    <row r="98" spans="1:13" x14ac:dyDescent="0.25">
      <c r="A98" t="s">
        <v>182</v>
      </c>
      <c r="B98" s="16">
        <v>46239</v>
      </c>
      <c r="C98" t="s">
        <v>91</v>
      </c>
      <c r="D98" t="s">
        <v>57</v>
      </c>
      <c r="E98">
        <v>27</v>
      </c>
      <c r="F98">
        <v>300</v>
      </c>
      <c r="G98">
        <v>8100</v>
      </c>
      <c r="H98" t="s">
        <v>58</v>
      </c>
      <c r="I98" t="s">
        <v>17</v>
      </c>
      <c r="J98" t="s">
        <v>59</v>
      </c>
      <c r="K98" t="s">
        <v>36</v>
      </c>
      <c r="L98">
        <f t="shared" si="2"/>
        <v>2026</v>
      </c>
      <c r="M98">
        <f t="shared" si="3"/>
        <v>8</v>
      </c>
    </row>
    <row r="99" spans="1:13" x14ac:dyDescent="0.25">
      <c r="A99" t="s">
        <v>183</v>
      </c>
      <c r="B99" s="16">
        <v>46240</v>
      </c>
      <c r="C99" t="s">
        <v>94</v>
      </c>
      <c r="D99" t="s">
        <v>62</v>
      </c>
      <c r="E99">
        <v>51</v>
      </c>
      <c r="F99">
        <v>250</v>
      </c>
      <c r="G99">
        <v>12750</v>
      </c>
      <c r="H99" t="s">
        <v>63</v>
      </c>
      <c r="I99" t="s">
        <v>17</v>
      </c>
      <c r="J99" t="s">
        <v>64</v>
      </c>
      <c r="K99" t="s">
        <v>35</v>
      </c>
      <c r="L99">
        <f t="shared" si="2"/>
        <v>2026</v>
      </c>
      <c r="M99">
        <f t="shared" si="3"/>
        <v>8</v>
      </c>
    </row>
    <row r="100" spans="1:13" x14ac:dyDescent="0.25">
      <c r="A100" t="s">
        <v>184</v>
      </c>
      <c r="B100" s="16">
        <v>46241</v>
      </c>
      <c r="C100" t="s">
        <v>51</v>
      </c>
      <c r="D100" t="s">
        <v>67</v>
      </c>
      <c r="E100">
        <v>34</v>
      </c>
      <c r="F100">
        <v>450</v>
      </c>
      <c r="G100">
        <v>15300</v>
      </c>
      <c r="H100" t="s">
        <v>68</v>
      </c>
      <c r="I100" t="s">
        <v>19</v>
      </c>
      <c r="J100" t="s">
        <v>69</v>
      </c>
      <c r="K100" t="s">
        <v>36</v>
      </c>
      <c r="L100">
        <f t="shared" si="2"/>
        <v>2026</v>
      </c>
      <c r="M100">
        <f t="shared" si="3"/>
        <v>8</v>
      </c>
    </row>
    <row r="101" spans="1:13" x14ac:dyDescent="0.25">
      <c r="A101" t="s">
        <v>185</v>
      </c>
      <c r="B101" s="16">
        <v>46242</v>
      </c>
      <c r="C101" t="s">
        <v>56</v>
      </c>
      <c r="D101" t="s">
        <v>72</v>
      </c>
      <c r="E101">
        <v>66</v>
      </c>
      <c r="F101">
        <v>700</v>
      </c>
      <c r="G101">
        <v>46200</v>
      </c>
      <c r="H101" t="s">
        <v>73</v>
      </c>
      <c r="I101" t="s">
        <v>6</v>
      </c>
      <c r="J101" t="s">
        <v>98</v>
      </c>
      <c r="K101" t="s">
        <v>33</v>
      </c>
      <c r="L101">
        <f t="shared" si="2"/>
        <v>2026</v>
      </c>
      <c r="M101">
        <f t="shared" si="3"/>
        <v>8</v>
      </c>
    </row>
    <row r="102" spans="1:13" x14ac:dyDescent="0.25">
      <c r="A102" t="s">
        <v>186</v>
      </c>
      <c r="B102" s="16">
        <v>46243</v>
      </c>
      <c r="C102" t="s">
        <v>61</v>
      </c>
      <c r="D102" t="s">
        <v>57</v>
      </c>
      <c r="E102">
        <v>79</v>
      </c>
      <c r="F102">
        <v>300</v>
      </c>
      <c r="G102">
        <v>23700</v>
      </c>
      <c r="H102" t="s">
        <v>58</v>
      </c>
      <c r="I102" t="s">
        <v>17</v>
      </c>
      <c r="J102" t="s">
        <v>98</v>
      </c>
      <c r="K102" t="s">
        <v>33</v>
      </c>
      <c r="L102">
        <f t="shared" si="2"/>
        <v>2026</v>
      </c>
      <c r="M102">
        <f t="shared" si="3"/>
        <v>8</v>
      </c>
    </row>
    <row r="103" spans="1:13" x14ac:dyDescent="0.25">
      <c r="A103" t="s">
        <v>187</v>
      </c>
      <c r="B103" s="16">
        <v>46244</v>
      </c>
      <c r="C103" t="s">
        <v>66</v>
      </c>
      <c r="D103" t="s">
        <v>62</v>
      </c>
      <c r="E103">
        <v>78</v>
      </c>
      <c r="F103">
        <v>250</v>
      </c>
      <c r="G103">
        <v>19500</v>
      </c>
      <c r="H103" t="s">
        <v>63</v>
      </c>
      <c r="I103" t="s">
        <v>17</v>
      </c>
      <c r="J103" t="s">
        <v>86</v>
      </c>
      <c r="K103" t="s">
        <v>34</v>
      </c>
      <c r="L103">
        <f t="shared" si="2"/>
        <v>2026</v>
      </c>
      <c r="M103">
        <f t="shared" si="3"/>
        <v>8</v>
      </c>
    </row>
    <row r="104" spans="1:13" x14ac:dyDescent="0.25">
      <c r="A104" t="s">
        <v>188</v>
      </c>
      <c r="B104" s="16">
        <v>46245</v>
      </c>
      <c r="C104" t="s">
        <v>97</v>
      </c>
      <c r="D104" t="s">
        <v>67</v>
      </c>
      <c r="E104">
        <v>62</v>
      </c>
      <c r="F104">
        <v>450</v>
      </c>
      <c r="G104">
        <v>27900</v>
      </c>
      <c r="H104" t="s">
        <v>68</v>
      </c>
      <c r="I104" t="s">
        <v>19</v>
      </c>
      <c r="J104" t="s">
        <v>89</v>
      </c>
      <c r="K104" t="s">
        <v>34</v>
      </c>
      <c r="L104">
        <f t="shared" si="2"/>
        <v>2026</v>
      </c>
      <c r="M104">
        <f t="shared" si="3"/>
        <v>8</v>
      </c>
    </row>
    <row r="105" spans="1:13" x14ac:dyDescent="0.25">
      <c r="A105" t="s">
        <v>189</v>
      </c>
      <c r="B105" s="16">
        <v>46246</v>
      </c>
      <c r="C105" t="s">
        <v>51</v>
      </c>
      <c r="D105" t="s">
        <v>72</v>
      </c>
      <c r="E105">
        <v>70</v>
      </c>
      <c r="F105">
        <v>700</v>
      </c>
      <c r="G105">
        <v>49000</v>
      </c>
      <c r="H105" t="s">
        <v>73</v>
      </c>
      <c r="I105" t="s">
        <v>6</v>
      </c>
      <c r="J105" t="s">
        <v>92</v>
      </c>
      <c r="K105" t="s">
        <v>34</v>
      </c>
      <c r="L105">
        <f t="shared" si="2"/>
        <v>2026</v>
      </c>
      <c r="M105">
        <f t="shared" si="3"/>
        <v>8</v>
      </c>
    </row>
    <row r="106" spans="1:13" x14ac:dyDescent="0.25">
      <c r="A106" t="s">
        <v>190</v>
      </c>
      <c r="B106" s="16">
        <v>46247</v>
      </c>
      <c r="C106" t="s">
        <v>56</v>
      </c>
      <c r="D106" t="s">
        <v>52</v>
      </c>
      <c r="E106">
        <v>80</v>
      </c>
      <c r="F106">
        <v>220</v>
      </c>
      <c r="G106">
        <v>17600</v>
      </c>
      <c r="H106" t="s">
        <v>53</v>
      </c>
      <c r="I106" t="s">
        <v>6</v>
      </c>
      <c r="J106" t="s">
        <v>95</v>
      </c>
      <c r="K106" t="s">
        <v>34</v>
      </c>
      <c r="L106">
        <f t="shared" si="2"/>
        <v>2026</v>
      </c>
      <c r="M106">
        <f t="shared" si="3"/>
        <v>8</v>
      </c>
    </row>
    <row r="107" spans="1:13" x14ac:dyDescent="0.25">
      <c r="A107" t="s">
        <v>191</v>
      </c>
      <c r="B107" s="16">
        <v>46248</v>
      </c>
      <c r="C107" t="s">
        <v>61</v>
      </c>
      <c r="D107" t="s">
        <v>57</v>
      </c>
      <c r="E107">
        <v>79</v>
      </c>
      <c r="F107">
        <v>300</v>
      </c>
      <c r="G107">
        <v>23700</v>
      </c>
      <c r="H107" t="s">
        <v>58</v>
      </c>
      <c r="I107" t="s">
        <v>17</v>
      </c>
      <c r="J107" t="s">
        <v>54</v>
      </c>
      <c r="K107" t="s">
        <v>33</v>
      </c>
      <c r="L107">
        <f t="shared" si="2"/>
        <v>2026</v>
      </c>
      <c r="M107">
        <f t="shared" si="3"/>
        <v>8</v>
      </c>
    </row>
    <row r="108" spans="1:13" x14ac:dyDescent="0.25">
      <c r="A108" t="s">
        <v>192</v>
      </c>
      <c r="B108" s="16">
        <v>46249</v>
      </c>
      <c r="C108" t="s">
        <v>66</v>
      </c>
      <c r="D108" t="s">
        <v>62</v>
      </c>
      <c r="E108">
        <v>39</v>
      </c>
      <c r="F108">
        <v>250</v>
      </c>
      <c r="G108">
        <v>9750</v>
      </c>
      <c r="H108" t="s">
        <v>63</v>
      </c>
      <c r="I108" t="s">
        <v>17</v>
      </c>
      <c r="J108" t="s">
        <v>59</v>
      </c>
      <c r="K108" t="s">
        <v>36</v>
      </c>
      <c r="L108">
        <f t="shared" si="2"/>
        <v>2026</v>
      </c>
      <c r="M108">
        <f t="shared" si="3"/>
        <v>8</v>
      </c>
    </row>
    <row r="109" spans="1:13" x14ac:dyDescent="0.25">
      <c r="A109" t="s">
        <v>193</v>
      </c>
      <c r="B109" s="16">
        <v>46250</v>
      </c>
      <c r="C109" t="s">
        <v>71</v>
      </c>
      <c r="D109" t="s">
        <v>67</v>
      </c>
      <c r="E109">
        <v>71</v>
      </c>
      <c r="F109">
        <v>450</v>
      </c>
      <c r="G109">
        <v>31950</v>
      </c>
      <c r="H109" t="s">
        <v>68</v>
      </c>
      <c r="I109" t="s">
        <v>19</v>
      </c>
      <c r="J109" t="s">
        <v>64</v>
      </c>
      <c r="K109" t="s">
        <v>35</v>
      </c>
      <c r="L109">
        <f t="shared" si="2"/>
        <v>2026</v>
      </c>
      <c r="M109">
        <f t="shared" si="3"/>
        <v>8</v>
      </c>
    </row>
    <row r="110" spans="1:13" x14ac:dyDescent="0.25">
      <c r="A110" t="s">
        <v>194</v>
      </c>
      <c r="B110" s="16">
        <v>46251</v>
      </c>
      <c r="C110" t="s">
        <v>76</v>
      </c>
      <c r="D110" t="s">
        <v>72</v>
      </c>
      <c r="E110">
        <v>57</v>
      </c>
      <c r="F110">
        <v>700</v>
      </c>
      <c r="G110">
        <v>39900</v>
      </c>
      <c r="H110" t="s">
        <v>73</v>
      </c>
      <c r="I110" t="s">
        <v>6</v>
      </c>
      <c r="J110" t="s">
        <v>69</v>
      </c>
      <c r="K110" t="s">
        <v>36</v>
      </c>
      <c r="L110">
        <f t="shared" si="2"/>
        <v>2026</v>
      </c>
      <c r="M110">
        <f t="shared" si="3"/>
        <v>8</v>
      </c>
    </row>
    <row r="111" spans="1:13" x14ac:dyDescent="0.25">
      <c r="A111" t="s">
        <v>195</v>
      </c>
      <c r="B111" s="16">
        <v>46252</v>
      </c>
      <c r="C111" t="s">
        <v>79</v>
      </c>
      <c r="D111" t="s">
        <v>52</v>
      </c>
      <c r="E111">
        <v>79</v>
      </c>
      <c r="F111">
        <v>220</v>
      </c>
      <c r="G111">
        <v>17380</v>
      </c>
      <c r="H111" t="s">
        <v>53</v>
      </c>
      <c r="I111" t="s">
        <v>6</v>
      </c>
      <c r="J111" t="s">
        <v>74</v>
      </c>
      <c r="K111" t="s">
        <v>34</v>
      </c>
      <c r="L111">
        <f t="shared" si="2"/>
        <v>2026</v>
      </c>
      <c r="M111">
        <f t="shared" si="3"/>
        <v>8</v>
      </c>
    </row>
    <row r="112" spans="1:13" x14ac:dyDescent="0.25">
      <c r="A112" t="s">
        <v>196</v>
      </c>
      <c r="B112" s="16">
        <v>46253</v>
      </c>
      <c r="C112" t="s">
        <v>82</v>
      </c>
      <c r="D112" t="s">
        <v>57</v>
      </c>
      <c r="E112">
        <v>79</v>
      </c>
      <c r="F112">
        <v>300</v>
      </c>
      <c r="G112">
        <v>23700</v>
      </c>
      <c r="H112" t="s">
        <v>58</v>
      </c>
      <c r="I112" t="s">
        <v>17</v>
      </c>
      <c r="J112" t="s">
        <v>54</v>
      </c>
      <c r="K112" t="s">
        <v>33</v>
      </c>
      <c r="L112">
        <f t="shared" si="2"/>
        <v>2026</v>
      </c>
      <c r="M112">
        <f t="shared" si="3"/>
        <v>8</v>
      </c>
    </row>
    <row r="113" spans="1:13" x14ac:dyDescent="0.25">
      <c r="A113" t="s">
        <v>197</v>
      </c>
      <c r="B113" s="16">
        <v>46254</v>
      </c>
      <c r="C113" t="s">
        <v>85</v>
      </c>
      <c r="D113" t="s">
        <v>62</v>
      </c>
      <c r="E113">
        <v>67</v>
      </c>
      <c r="F113">
        <v>250</v>
      </c>
      <c r="G113">
        <v>16750</v>
      </c>
      <c r="H113" t="s">
        <v>63</v>
      </c>
      <c r="I113" t="s">
        <v>17</v>
      </c>
      <c r="J113" t="s">
        <v>59</v>
      </c>
      <c r="K113" t="s">
        <v>36</v>
      </c>
      <c r="L113">
        <f t="shared" si="2"/>
        <v>2026</v>
      </c>
      <c r="M113">
        <f t="shared" si="3"/>
        <v>8</v>
      </c>
    </row>
    <row r="114" spans="1:13" x14ac:dyDescent="0.25">
      <c r="A114" t="s">
        <v>198</v>
      </c>
      <c r="B114" s="16">
        <v>46255</v>
      </c>
      <c r="C114" t="s">
        <v>88</v>
      </c>
      <c r="D114" t="s">
        <v>67</v>
      </c>
      <c r="E114">
        <v>61</v>
      </c>
      <c r="F114">
        <v>450</v>
      </c>
      <c r="G114">
        <v>27450</v>
      </c>
      <c r="H114" t="s">
        <v>68</v>
      </c>
      <c r="I114" t="s">
        <v>19</v>
      </c>
      <c r="J114" t="s">
        <v>64</v>
      </c>
      <c r="K114" t="s">
        <v>35</v>
      </c>
      <c r="L114">
        <f t="shared" si="2"/>
        <v>2026</v>
      </c>
      <c r="M114">
        <f t="shared" si="3"/>
        <v>8</v>
      </c>
    </row>
    <row r="115" spans="1:13" x14ac:dyDescent="0.25">
      <c r="A115" t="s">
        <v>199</v>
      </c>
      <c r="B115" s="16">
        <v>46256</v>
      </c>
      <c r="C115" t="s">
        <v>91</v>
      </c>
      <c r="D115" t="s">
        <v>72</v>
      </c>
      <c r="E115">
        <v>47</v>
      </c>
      <c r="F115">
        <v>700</v>
      </c>
      <c r="G115">
        <v>32900</v>
      </c>
      <c r="H115" t="s">
        <v>73</v>
      </c>
      <c r="I115" t="s">
        <v>6</v>
      </c>
      <c r="J115" t="s">
        <v>92</v>
      </c>
      <c r="K115" t="s">
        <v>34</v>
      </c>
      <c r="L115">
        <f t="shared" si="2"/>
        <v>2026</v>
      </c>
      <c r="M115">
        <f t="shared" si="3"/>
        <v>8</v>
      </c>
    </row>
    <row r="116" spans="1:13" x14ac:dyDescent="0.25">
      <c r="A116" t="s">
        <v>200</v>
      </c>
      <c r="B116" s="16">
        <v>46257</v>
      </c>
      <c r="C116" t="s">
        <v>94</v>
      </c>
      <c r="D116" t="s">
        <v>52</v>
      </c>
      <c r="E116">
        <v>45</v>
      </c>
      <c r="F116">
        <v>220</v>
      </c>
      <c r="G116">
        <v>9900</v>
      </c>
      <c r="H116" t="s">
        <v>53</v>
      </c>
      <c r="I116" t="s">
        <v>6</v>
      </c>
      <c r="J116" t="s">
        <v>95</v>
      </c>
      <c r="K116" t="s">
        <v>34</v>
      </c>
      <c r="L116">
        <f t="shared" si="2"/>
        <v>2026</v>
      </c>
      <c r="M116">
        <f t="shared" si="3"/>
        <v>8</v>
      </c>
    </row>
    <row r="117" spans="1:13" x14ac:dyDescent="0.25">
      <c r="A117" t="s">
        <v>201</v>
      </c>
      <c r="B117" s="16">
        <v>46258</v>
      </c>
      <c r="C117" t="s">
        <v>97</v>
      </c>
      <c r="D117" t="s">
        <v>57</v>
      </c>
      <c r="E117">
        <v>60</v>
      </c>
      <c r="F117">
        <v>300</v>
      </c>
      <c r="G117">
        <v>18000</v>
      </c>
      <c r="H117" t="s">
        <v>58</v>
      </c>
      <c r="I117" t="s">
        <v>17</v>
      </c>
      <c r="J117" t="s">
        <v>98</v>
      </c>
      <c r="K117" t="s">
        <v>33</v>
      </c>
      <c r="L117">
        <f t="shared" si="2"/>
        <v>2026</v>
      </c>
      <c r="M117">
        <f t="shared" si="3"/>
        <v>8</v>
      </c>
    </row>
    <row r="118" spans="1:13" x14ac:dyDescent="0.25">
      <c r="A118" t="s">
        <v>202</v>
      </c>
      <c r="B118" s="16">
        <v>46259</v>
      </c>
      <c r="C118" t="s">
        <v>51</v>
      </c>
      <c r="D118" t="s">
        <v>62</v>
      </c>
      <c r="E118">
        <v>46</v>
      </c>
      <c r="F118">
        <v>250</v>
      </c>
      <c r="G118">
        <v>11500</v>
      </c>
      <c r="H118" t="s">
        <v>63</v>
      </c>
      <c r="I118" t="s">
        <v>17</v>
      </c>
      <c r="J118" t="s">
        <v>86</v>
      </c>
      <c r="K118" t="s">
        <v>34</v>
      </c>
      <c r="L118">
        <f t="shared" si="2"/>
        <v>2026</v>
      </c>
      <c r="M118">
        <f t="shared" si="3"/>
        <v>8</v>
      </c>
    </row>
    <row r="119" spans="1:13" x14ac:dyDescent="0.25">
      <c r="A119" t="s">
        <v>203</v>
      </c>
      <c r="B119" s="16">
        <v>46260</v>
      </c>
      <c r="C119" t="s">
        <v>56</v>
      </c>
      <c r="D119" t="s">
        <v>67</v>
      </c>
      <c r="E119">
        <v>29</v>
      </c>
      <c r="F119">
        <v>450</v>
      </c>
      <c r="G119">
        <v>13050</v>
      </c>
      <c r="H119" t="s">
        <v>68</v>
      </c>
      <c r="I119" t="s">
        <v>19</v>
      </c>
      <c r="J119" t="s">
        <v>89</v>
      </c>
      <c r="K119" t="s">
        <v>34</v>
      </c>
      <c r="L119">
        <f t="shared" si="2"/>
        <v>2026</v>
      </c>
      <c r="M119">
        <f t="shared" si="3"/>
        <v>8</v>
      </c>
    </row>
    <row r="120" spans="1:13" x14ac:dyDescent="0.25">
      <c r="A120" t="s">
        <v>204</v>
      </c>
      <c r="B120" s="16">
        <v>46261</v>
      </c>
      <c r="C120" t="s">
        <v>61</v>
      </c>
      <c r="D120" t="s">
        <v>72</v>
      </c>
      <c r="E120">
        <v>68</v>
      </c>
      <c r="F120">
        <v>700</v>
      </c>
      <c r="G120">
        <v>47600</v>
      </c>
      <c r="H120" t="s">
        <v>73</v>
      </c>
      <c r="I120" t="s">
        <v>6</v>
      </c>
      <c r="J120" t="s">
        <v>92</v>
      </c>
      <c r="K120" t="s">
        <v>34</v>
      </c>
      <c r="L120">
        <f t="shared" si="2"/>
        <v>2026</v>
      </c>
      <c r="M120">
        <f t="shared" si="3"/>
        <v>8</v>
      </c>
    </row>
    <row r="121" spans="1:13" x14ac:dyDescent="0.25">
      <c r="A121" t="s">
        <v>205</v>
      </c>
      <c r="B121" s="16">
        <v>46262</v>
      </c>
      <c r="C121" t="s">
        <v>66</v>
      </c>
      <c r="D121" t="s">
        <v>52</v>
      </c>
      <c r="E121">
        <v>73</v>
      </c>
      <c r="F121">
        <v>220</v>
      </c>
      <c r="G121">
        <v>16060</v>
      </c>
      <c r="H121" t="s">
        <v>53</v>
      </c>
      <c r="I121" t="s">
        <v>6</v>
      </c>
      <c r="J121" t="s">
        <v>95</v>
      </c>
      <c r="K121" t="s">
        <v>34</v>
      </c>
      <c r="L121">
        <f t="shared" si="2"/>
        <v>2026</v>
      </c>
      <c r="M121">
        <f t="shared" si="3"/>
        <v>8</v>
      </c>
    </row>
    <row r="122" spans="1:13" x14ac:dyDescent="0.25">
      <c r="A122" t="s">
        <v>206</v>
      </c>
      <c r="B122" s="16">
        <v>46263</v>
      </c>
      <c r="C122" t="s">
        <v>71</v>
      </c>
      <c r="D122" t="s">
        <v>57</v>
      </c>
      <c r="E122">
        <v>54</v>
      </c>
      <c r="F122">
        <v>300</v>
      </c>
      <c r="G122">
        <v>16200</v>
      </c>
      <c r="H122" t="s">
        <v>58</v>
      </c>
      <c r="I122" t="s">
        <v>17</v>
      </c>
      <c r="J122" t="s">
        <v>54</v>
      </c>
      <c r="K122" t="s">
        <v>33</v>
      </c>
      <c r="L122">
        <f t="shared" si="2"/>
        <v>2026</v>
      </c>
      <c r="M122">
        <f t="shared" si="3"/>
        <v>8</v>
      </c>
    </row>
    <row r="123" spans="1:13" x14ac:dyDescent="0.25">
      <c r="A123" t="s">
        <v>207</v>
      </c>
      <c r="B123" s="16">
        <v>46264</v>
      </c>
      <c r="C123" t="s">
        <v>76</v>
      </c>
      <c r="D123" t="s">
        <v>62</v>
      </c>
      <c r="E123">
        <v>44</v>
      </c>
      <c r="F123">
        <v>250</v>
      </c>
      <c r="G123">
        <v>11000</v>
      </c>
      <c r="H123" t="s">
        <v>63</v>
      </c>
      <c r="I123" t="s">
        <v>17</v>
      </c>
      <c r="J123" t="s">
        <v>59</v>
      </c>
      <c r="K123" t="s">
        <v>36</v>
      </c>
      <c r="L123">
        <f t="shared" si="2"/>
        <v>2026</v>
      </c>
      <c r="M123">
        <f t="shared" si="3"/>
        <v>8</v>
      </c>
    </row>
    <row r="124" spans="1:13" x14ac:dyDescent="0.25">
      <c r="A124" t="s">
        <v>208</v>
      </c>
      <c r="B124" s="16">
        <v>46265</v>
      </c>
      <c r="C124" t="s">
        <v>79</v>
      </c>
      <c r="D124" t="s">
        <v>67</v>
      </c>
      <c r="E124">
        <v>73</v>
      </c>
      <c r="F124">
        <v>450</v>
      </c>
      <c r="G124">
        <v>32850</v>
      </c>
      <c r="H124" t="s">
        <v>68</v>
      </c>
      <c r="I124" t="s">
        <v>19</v>
      </c>
      <c r="J124" t="s">
        <v>64</v>
      </c>
      <c r="K124" t="s">
        <v>35</v>
      </c>
      <c r="L124">
        <f t="shared" si="2"/>
        <v>2026</v>
      </c>
      <c r="M124">
        <f t="shared" si="3"/>
        <v>8</v>
      </c>
    </row>
    <row r="125" spans="1:13" x14ac:dyDescent="0.25">
      <c r="A125" t="s">
        <v>209</v>
      </c>
      <c r="B125" s="16">
        <v>46082</v>
      </c>
      <c r="C125" t="s">
        <v>82</v>
      </c>
      <c r="D125" t="s">
        <v>72</v>
      </c>
      <c r="E125">
        <v>51</v>
      </c>
      <c r="F125">
        <v>700</v>
      </c>
      <c r="G125">
        <v>35700</v>
      </c>
      <c r="H125" t="s">
        <v>73</v>
      </c>
      <c r="I125" t="s">
        <v>6</v>
      </c>
      <c r="J125" t="s">
        <v>69</v>
      </c>
      <c r="K125" t="s">
        <v>36</v>
      </c>
      <c r="L125">
        <f t="shared" si="2"/>
        <v>2026</v>
      </c>
      <c r="M125">
        <f t="shared" si="3"/>
        <v>3</v>
      </c>
    </row>
    <row r="126" spans="1:13" x14ac:dyDescent="0.25">
      <c r="A126" t="s">
        <v>210</v>
      </c>
      <c r="B126" s="16">
        <v>46083</v>
      </c>
      <c r="C126" t="s">
        <v>85</v>
      </c>
      <c r="D126" t="s">
        <v>52</v>
      </c>
      <c r="E126">
        <v>22</v>
      </c>
      <c r="F126">
        <v>220</v>
      </c>
      <c r="G126">
        <v>4840</v>
      </c>
      <c r="H126" t="s">
        <v>53</v>
      </c>
      <c r="I126" t="s">
        <v>6</v>
      </c>
      <c r="J126" t="s">
        <v>98</v>
      </c>
      <c r="K126" t="s">
        <v>33</v>
      </c>
      <c r="L126">
        <f t="shared" si="2"/>
        <v>2026</v>
      </c>
      <c r="M126">
        <f t="shared" si="3"/>
        <v>3</v>
      </c>
    </row>
    <row r="127" spans="1:13" x14ac:dyDescent="0.25">
      <c r="A127" t="s">
        <v>211</v>
      </c>
      <c r="B127" s="16">
        <v>46084</v>
      </c>
      <c r="C127" t="s">
        <v>88</v>
      </c>
      <c r="D127" t="s">
        <v>57</v>
      </c>
      <c r="E127">
        <v>38</v>
      </c>
      <c r="F127">
        <v>300</v>
      </c>
      <c r="G127">
        <v>11400</v>
      </c>
      <c r="H127" t="s">
        <v>58</v>
      </c>
      <c r="I127" t="s">
        <v>17</v>
      </c>
      <c r="J127" t="s">
        <v>54</v>
      </c>
      <c r="K127" t="s">
        <v>33</v>
      </c>
      <c r="L127">
        <f t="shared" si="2"/>
        <v>2026</v>
      </c>
      <c r="M127">
        <f t="shared" si="3"/>
        <v>3</v>
      </c>
    </row>
    <row r="128" spans="1:13" x14ac:dyDescent="0.25">
      <c r="A128" t="s">
        <v>212</v>
      </c>
      <c r="B128" s="16">
        <v>46085</v>
      </c>
      <c r="C128" t="s">
        <v>91</v>
      </c>
      <c r="D128" t="s">
        <v>62</v>
      </c>
      <c r="E128">
        <v>28</v>
      </c>
      <c r="F128">
        <v>250</v>
      </c>
      <c r="G128">
        <v>7000</v>
      </c>
      <c r="H128" t="s">
        <v>63</v>
      </c>
      <c r="I128" t="s">
        <v>17</v>
      </c>
      <c r="J128" t="s">
        <v>59</v>
      </c>
      <c r="K128" t="s">
        <v>36</v>
      </c>
      <c r="L128">
        <f t="shared" si="2"/>
        <v>2026</v>
      </c>
      <c r="M128">
        <f t="shared" si="3"/>
        <v>3</v>
      </c>
    </row>
    <row r="129" spans="1:13" x14ac:dyDescent="0.25">
      <c r="A129" t="s">
        <v>213</v>
      </c>
      <c r="B129" s="16">
        <v>46086</v>
      </c>
      <c r="C129" t="s">
        <v>94</v>
      </c>
      <c r="D129" t="s">
        <v>67</v>
      </c>
      <c r="E129">
        <v>54</v>
      </c>
      <c r="F129">
        <v>450</v>
      </c>
      <c r="G129">
        <v>24300</v>
      </c>
      <c r="H129" t="s">
        <v>68</v>
      </c>
      <c r="I129" t="s">
        <v>19</v>
      </c>
      <c r="J129" t="s">
        <v>64</v>
      </c>
      <c r="K129" t="s">
        <v>35</v>
      </c>
      <c r="L129">
        <f t="shared" si="2"/>
        <v>2026</v>
      </c>
      <c r="M129">
        <f t="shared" si="3"/>
        <v>3</v>
      </c>
    </row>
    <row r="130" spans="1:13" x14ac:dyDescent="0.25">
      <c r="A130" t="s">
        <v>214</v>
      </c>
      <c r="B130" s="16">
        <v>46087</v>
      </c>
      <c r="C130" t="s">
        <v>97</v>
      </c>
      <c r="D130" t="s">
        <v>72</v>
      </c>
      <c r="E130">
        <v>33</v>
      </c>
      <c r="F130">
        <v>700</v>
      </c>
      <c r="G130">
        <v>23100</v>
      </c>
      <c r="H130" t="s">
        <v>73</v>
      </c>
      <c r="I130" t="s">
        <v>6</v>
      </c>
      <c r="J130" t="s">
        <v>69</v>
      </c>
      <c r="K130" t="s">
        <v>36</v>
      </c>
      <c r="L130">
        <f t="shared" ref="L130:L193" si="4">YEAR(B130)</f>
        <v>2026</v>
      </c>
      <c r="M130">
        <f t="shared" ref="M130:M193" si="5">MONTH(B130)</f>
        <v>3</v>
      </c>
    </row>
    <row r="131" spans="1:13" x14ac:dyDescent="0.25">
      <c r="A131" t="s">
        <v>215</v>
      </c>
      <c r="B131" s="16">
        <v>46088</v>
      </c>
      <c r="C131" t="s">
        <v>85</v>
      </c>
      <c r="D131" t="s">
        <v>52</v>
      </c>
      <c r="E131">
        <v>77</v>
      </c>
      <c r="F131">
        <v>220</v>
      </c>
      <c r="G131">
        <v>16940</v>
      </c>
      <c r="H131" t="s">
        <v>53</v>
      </c>
      <c r="I131" t="s">
        <v>6</v>
      </c>
      <c r="J131" t="s">
        <v>74</v>
      </c>
      <c r="K131" t="s">
        <v>34</v>
      </c>
      <c r="L131">
        <f t="shared" si="4"/>
        <v>2026</v>
      </c>
      <c r="M131">
        <f t="shared" si="5"/>
        <v>3</v>
      </c>
    </row>
    <row r="132" spans="1:13" x14ac:dyDescent="0.25">
      <c r="A132" t="s">
        <v>216</v>
      </c>
      <c r="B132" s="16">
        <v>46089</v>
      </c>
      <c r="C132" t="s">
        <v>88</v>
      </c>
      <c r="D132" t="s">
        <v>57</v>
      </c>
      <c r="E132">
        <v>20</v>
      </c>
      <c r="F132">
        <v>300</v>
      </c>
      <c r="G132">
        <v>6000</v>
      </c>
      <c r="H132" t="s">
        <v>58</v>
      </c>
      <c r="I132" t="s">
        <v>17</v>
      </c>
      <c r="J132" t="s">
        <v>77</v>
      </c>
      <c r="K132" t="s">
        <v>36</v>
      </c>
      <c r="L132">
        <f t="shared" si="4"/>
        <v>2026</v>
      </c>
      <c r="M132">
        <f t="shared" si="5"/>
        <v>3</v>
      </c>
    </row>
    <row r="133" spans="1:13" x14ac:dyDescent="0.25">
      <c r="A133" t="s">
        <v>217</v>
      </c>
      <c r="B133" s="16">
        <v>46084</v>
      </c>
      <c r="C133" t="s">
        <v>91</v>
      </c>
      <c r="D133" t="s">
        <v>62</v>
      </c>
      <c r="E133">
        <v>62</v>
      </c>
      <c r="F133">
        <v>250</v>
      </c>
      <c r="G133">
        <v>15500</v>
      </c>
      <c r="H133" t="s">
        <v>63</v>
      </c>
      <c r="I133" t="s">
        <v>17</v>
      </c>
      <c r="J133" t="s">
        <v>80</v>
      </c>
      <c r="K133" t="s">
        <v>35</v>
      </c>
      <c r="L133">
        <f t="shared" si="4"/>
        <v>2026</v>
      </c>
      <c r="M133">
        <f t="shared" si="5"/>
        <v>3</v>
      </c>
    </row>
    <row r="134" spans="1:13" x14ac:dyDescent="0.25">
      <c r="A134" t="s">
        <v>218</v>
      </c>
      <c r="B134" s="16">
        <v>46091</v>
      </c>
      <c r="C134" t="s">
        <v>94</v>
      </c>
      <c r="D134" t="s">
        <v>67</v>
      </c>
      <c r="E134">
        <v>45</v>
      </c>
      <c r="F134">
        <v>450</v>
      </c>
      <c r="G134">
        <v>20250</v>
      </c>
      <c r="H134" t="s">
        <v>68</v>
      </c>
      <c r="I134" t="s">
        <v>19</v>
      </c>
      <c r="J134" t="s">
        <v>83</v>
      </c>
      <c r="K134" t="s">
        <v>33</v>
      </c>
      <c r="L134">
        <f t="shared" si="4"/>
        <v>2026</v>
      </c>
      <c r="M134">
        <f t="shared" si="5"/>
        <v>3</v>
      </c>
    </row>
    <row r="135" spans="1:13" x14ac:dyDescent="0.25">
      <c r="A135" t="s">
        <v>219</v>
      </c>
      <c r="B135" s="16">
        <v>46083</v>
      </c>
      <c r="C135" t="s">
        <v>51</v>
      </c>
      <c r="D135" t="s">
        <v>72</v>
      </c>
      <c r="E135">
        <v>27</v>
      </c>
      <c r="F135">
        <v>700</v>
      </c>
      <c r="G135">
        <v>18900</v>
      </c>
      <c r="H135" t="s">
        <v>73</v>
      </c>
      <c r="I135" t="s">
        <v>6</v>
      </c>
      <c r="J135" t="s">
        <v>86</v>
      </c>
      <c r="K135" t="s">
        <v>34</v>
      </c>
      <c r="L135">
        <f t="shared" si="4"/>
        <v>2026</v>
      </c>
      <c r="M135">
        <f t="shared" si="5"/>
        <v>3</v>
      </c>
    </row>
    <row r="136" spans="1:13" x14ac:dyDescent="0.25">
      <c r="A136" t="s">
        <v>220</v>
      </c>
      <c r="B136" s="16">
        <v>46093</v>
      </c>
      <c r="C136" t="s">
        <v>56</v>
      </c>
      <c r="D136" t="s">
        <v>52</v>
      </c>
      <c r="E136">
        <v>47</v>
      </c>
      <c r="F136">
        <v>220</v>
      </c>
      <c r="G136">
        <v>10340</v>
      </c>
      <c r="H136" t="s">
        <v>53</v>
      </c>
      <c r="I136" t="s">
        <v>6</v>
      </c>
      <c r="J136" t="s">
        <v>89</v>
      </c>
      <c r="K136" t="s">
        <v>34</v>
      </c>
      <c r="L136">
        <f t="shared" si="4"/>
        <v>2026</v>
      </c>
      <c r="M136">
        <f t="shared" si="5"/>
        <v>3</v>
      </c>
    </row>
    <row r="137" spans="1:13" x14ac:dyDescent="0.25">
      <c r="A137" t="s">
        <v>221</v>
      </c>
      <c r="B137" s="16">
        <v>46094</v>
      </c>
      <c r="C137" t="s">
        <v>61</v>
      </c>
      <c r="D137" t="s">
        <v>57</v>
      </c>
      <c r="E137">
        <v>50</v>
      </c>
      <c r="F137">
        <v>300</v>
      </c>
      <c r="G137">
        <v>15000</v>
      </c>
      <c r="H137" t="s">
        <v>58</v>
      </c>
      <c r="I137" t="s">
        <v>17</v>
      </c>
      <c r="J137" t="s">
        <v>92</v>
      </c>
      <c r="K137" t="s">
        <v>34</v>
      </c>
      <c r="L137">
        <f t="shared" si="4"/>
        <v>2026</v>
      </c>
      <c r="M137">
        <f t="shared" si="5"/>
        <v>3</v>
      </c>
    </row>
    <row r="138" spans="1:13" x14ac:dyDescent="0.25">
      <c r="A138" t="s">
        <v>222</v>
      </c>
      <c r="B138" s="16">
        <v>46095</v>
      </c>
      <c r="C138" t="s">
        <v>66</v>
      </c>
      <c r="D138" t="s">
        <v>62</v>
      </c>
      <c r="E138">
        <v>50</v>
      </c>
      <c r="F138">
        <v>250</v>
      </c>
      <c r="G138">
        <v>12500</v>
      </c>
      <c r="H138" t="s">
        <v>63</v>
      </c>
      <c r="I138" t="s">
        <v>17</v>
      </c>
      <c r="J138" t="s">
        <v>95</v>
      </c>
      <c r="K138" t="s">
        <v>34</v>
      </c>
      <c r="L138">
        <f t="shared" si="4"/>
        <v>2026</v>
      </c>
      <c r="M138">
        <f t="shared" si="5"/>
        <v>3</v>
      </c>
    </row>
    <row r="139" spans="1:13" x14ac:dyDescent="0.25">
      <c r="A139" t="s">
        <v>223</v>
      </c>
      <c r="B139" s="16">
        <v>46096</v>
      </c>
      <c r="C139" t="s">
        <v>71</v>
      </c>
      <c r="D139" t="s">
        <v>67</v>
      </c>
      <c r="E139">
        <v>79</v>
      </c>
      <c r="F139">
        <v>450</v>
      </c>
      <c r="G139">
        <v>35550</v>
      </c>
      <c r="H139" t="s">
        <v>68</v>
      </c>
      <c r="I139" t="s">
        <v>19</v>
      </c>
      <c r="J139" t="s">
        <v>98</v>
      </c>
      <c r="K139" t="s">
        <v>33</v>
      </c>
      <c r="L139">
        <f t="shared" si="4"/>
        <v>2026</v>
      </c>
      <c r="M139">
        <f t="shared" si="5"/>
        <v>3</v>
      </c>
    </row>
    <row r="140" spans="1:13" x14ac:dyDescent="0.25">
      <c r="A140" t="s">
        <v>224</v>
      </c>
      <c r="B140" s="16">
        <v>46097</v>
      </c>
      <c r="C140" t="s">
        <v>51</v>
      </c>
      <c r="D140" t="s">
        <v>72</v>
      </c>
      <c r="E140">
        <v>68</v>
      </c>
      <c r="F140">
        <v>700</v>
      </c>
      <c r="G140">
        <v>47600</v>
      </c>
      <c r="H140" t="s">
        <v>73</v>
      </c>
      <c r="I140" t="s">
        <v>6</v>
      </c>
      <c r="J140" t="s">
        <v>54</v>
      </c>
      <c r="K140" t="s">
        <v>33</v>
      </c>
      <c r="L140">
        <f t="shared" si="4"/>
        <v>2026</v>
      </c>
      <c r="M140">
        <f t="shared" si="5"/>
        <v>3</v>
      </c>
    </row>
    <row r="141" spans="1:13" x14ac:dyDescent="0.25">
      <c r="A141" t="s">
        <v>225</v>
      </c>
      <c r="B141" s="16">
        <v>46098</v>
      </c>
      <c r="C141" t="s">
        <v>56</v>
      </c>
      <c r="D141" t="s">
        <v>52</v>
      </c>
      <c r="E141">
        <v>60</v>
      </c>
      <c r="F141">
        <v>220</v>
      </c>
      <c r="G141">
        <v>13200</v>
      </c>
      <c r="H141" t="s">
        <v>53</v>
      </c>
      <c r="I141" t="s">
        <v>6</v>
      </c>
      <c r="J141" t="s">
        <v>59</v>
      </c>
      <c r="K141" t="s">
        <v>36</v>
      </c>
      <c r="L141">
        <f t="shared" si="4"/>
        <v>2026</v>
      </c>
      <c r="M141">
        <f t="shared" si="5"/>
        <v>3</v>
      </c>
    </row>
    <row r="142" spans="1:13" x14ac:dyDescent="0.25">
      <c r="A142" t="s">
        <v>226</v>
      </c>
      <c r="B142" s="16">
        <v>46099</v>
      </c>
      <c r="C142" t="s">
        <v>61</v>
      </c>
      <c r="D142" t="s">
        <v>57</v>
      </c>
      <c r="E142">
        <v>62</v>
      </c>
      <c r="F142">
        <v>300</v>
      </c>
      <c r="G142">
        <v>18600</v>
      </c>
      <c r="H142" t="s">
        <v>58</v>
      </c>
      <c r="I142" t="s">
        <v>17</v>
      </c>
      <c r="J142" t="s">
        <v>64</v>
      </c>
      <c r="K142" t="s">
        <v>35</v>
      </c>
      <c r="L142">
        <f t="shared" si="4"/>
        <v>2026</v>
      </c>
      <c r="M142">
        <f t="shared" si="5"/>
        <v>3</v>
      </c>
    </row>
    <row r="143" spans="1:13" x14ac:dyDescent="0.25">
      <c r="A143" t="s">
        <v>227</v>
      </c>
      <c r="B143" s="16">
        <v>46100</v>
      </c>
      <c r="C143" t="s">
        <v>91</v>
      </c>
      <c r="D143" t="s">
        <v>62</v>
      </c>
      <c r="E143">
        <v>23</v>
      </c>
      <c r="F143">
        <v>250</v>
      </c>
      <c r="G143">
        <v>5750</v>
      </c>
      <c r="H143" t="s">
        <v>63</v>
      </c>
      <c r="I143" t="s">
        <v>17</v>
      </c>
      <c r="J143" t="s">
        <v>69</v>
      </c>
      <c r="K143" t="s">
        <v>36</v>
      </c>
      <c r="L143">
        <f t="shared" si="4"/>
        <v>2026</v>
      </c>
      <c r="M143">
        <f t="shared" si="5"/>
        <v>3</v>
      </c>
    </row>
    <row r="144" spans="1:13" x14ac:dyDescent="0.25">
      <c r="A144" t="s">
        <v>228</v>
      </c>
      <c r="B144" s="16">
        <v>46101</v>
      </c>
      <c r="C144" t="s">
        <v>94</v>
      </c>
      <c r="D144" t="s">
        <v>67</v>
      </c>
      <c r="E144">
        <v>49</v>
      </c>
      <c r="F144">
        <v>450</v>
      </c>
      <c r="G144">
        <v>22050</v>
      </c>
      <c r="H144" t="s">
        <v>68</v>
      </c>
      <c r="I144" t="s">
        <v>19</v>
      </c>
      <c r="J144" t="s">
        <v>74</v>
      </c>
      <c r="K144" t="s">
        <v>34</v>
      </c>
      <c r="L144">
        <f t="shared" si="4"/>
        <v>2026</v>
      </c>
      <c r="M144">
        <f t="shared" si="5"/>
        <v>3</v>
      </c>
    </row>
    <row r="145" spans="1:13" x14ac:dyDescent="0.25">
      <c r="A145" t="s">
        <v>229</v>
      </c>
      <c r="B145" s="16">
        <v>46102</v>
      </c>
      <c r="C145" t="s">
        <v>97</v>
      </c>
      <c r="D145" t="s">
        <v>72</v>
      </c>
      <c r="E145">
        <v>29</v>
      </c>
      <c r="F145">
        <v>700</v>
      </c>
      <c r="G145">
        <v>20300</v>
      </c>
      <c r="H145" t="s">
        <v>73</v>
      </c>
      <c r="I145" t="s">
        <v>6</v>
      </c>
      <c r="J145" t="s">
        <v>95</v>
      </c>
      <c r="K145" t="s">
        <v>34</v>
      </c>
      <c r="L145">
        <f t="shared" si="4"/>
        <v>2026</v>
      </c>
      <c r="M145">
        <f t="shared" si="5"/>
        <v>3</v>
      </c>
    </row>
    <row r="146" spans="1:13" x14ac:dyDescent="0.25">
      <c r="A146" t="s">
        <v>230</v>
      </c>
      <c r="B146" s="16">
        <v>46103</v>
      </c>
      <c r="C146" t="s">
        <v>85</v>
      </c>
      <c r="D146" t="s">
        <v>52</v>
      </c>
      <c r="E146">
        <v>40</v>
      </c>
      <c r="F146">
        <v>220</v>
      </c>
      <c r="G146">
        <v>8800</v>
      </c>
      <c r="H146" t="s">
        <v>53</v>
      </c>
      <c r="I146" t="s">
        <v>6</v>
      </c>
      <c r="J146" t="s">
        <v>98</v>
      </c>
      <c r="K146" t="s">
        <v>33</v>
      </c>
      <c r="L146">
        <f t="shared" si="4"/>
        <v>2026</v>
      </c>
      <c r="M146">
        <f t="shared" si="5"/>
        <v>3</v>
      </c>
    </row>
    <row r="147" spans="1:13" x14ac:dyDescent="0.25">
      <c r="A147" t="s">
        <v>231</v>
      </c>
      <c r="B147" s="16">
        <v>46104</v>
      </c>
      <c r="C147" t="s">
        <v>88</v>
      </c>
      <c r="D147" t="s">
        <v>57</v>
      </c>
      <c r="E147">
        <v>72</v>
      </c>
      <c r="F147">
        <v>300</v>
      </c>
      <c r="G147">
        <v>21600</v>
      </c>
      <c r="H147" t="s">
        <v>58</v>
      </c>
      <c r="I147" t="s">
        <v>17</v>
      </c>
      <c r="J147" t="s">
        <v>54</v>
      </c>
      <c r="K147" t="s">
        <v>33</v>
      </c>
      <c r="L147">
        <f t="shared" si="4"/>
        <v>2026</v>
      </c>
      <c r="M147">
        <f t="shared" si="5"/>
        <v>3</v>
      </c>
    </row>
    <row r="148" spans="1:13" x14ac:dyDescent="0.25">
      <c r="A148" t="s">
        <v>232</v>
      </c>
      <c r="B148" s="16">
        <v>46105</v>
      </c>
      <c r="C148" t="s">
        <v>91</v>
      </c>
      <c r="D148" t="s">
        <v>62</v>
      </c>
      <c r="E148">
        <v>65</v>
      </c>
      <c r="F148">
        <v>250</v>
      </c>
      <c r="G148">
        <v>16250</v>
      </c>
      <c r="H148" t="s">
        <v>63</v>
      </c>
      <c r="I148" t="s">
        <v>17</v>
      </c>
      <c r="J148" t="s">
        <v>59</v>
      </c>
      <c r="K148" t="s">
        <v>36</v>
      </c>
      <c r="L148">
        <f t="shared" si="4"/>
        <v>2026</v>
      </c>
      <c r="M148">
        <f t="shared" si="5"/>
        <v>3</v>
      </c>
    </row>
    <row r="149" spans="1:13" x14ac:dyDescent="0.25">
      <c r="A149" t="s">
        <v>233</v>
      </c>
      <c r="B149" s="16">
        <v>46106</v>
      </c>
      <c r="C149" t="s">
        <v>94</v>
      </c>
      <c r="D149" t="s">
        <v>67</v>
      </c>
      <c r="E149">
        <v>46</v>
      </c>
      <c r="F149">
        <v>450</v>
      </c>
      <c r="G149">
        <v>20700</v>
      </c>
      <c r="H149" t="s">
        <v>68</v>
      </c>
      <c r="I149" t="s">
        <v>19</v>
      </c>
      <c r="J149" t="s">
        <v>64</v>
      </c>
      <c r="K149" t="s">
        <v>35</v>
      </c>
      <c r="L149">
        <f t="shared" si="4"/>
        <v>2026</v>
      </c>
      <c r="M149">
        <f t="shared" si="5"/>
        <v>3</v>
      </c>
    </row>
    <row r="150" spans="1:13" x14ac:dyDescent="0.25">
      <c r="A150" t="s">
        <v>234</v>
      </c>
      <c r="B150" s="16">
        <v>46107</v>
      </c>
      <c r="C150" t="s">
        <v>51</v>
      </c>
      <c r="D150" t="s">
        <v>72</v>
      </c>
      <c r="E150">
        <v>21</v>
      </c>
      <c r="F150">
        <v>700</v>
      </c>
      <c r="G150">
        <v>14700</v>
      </c>
      <c r="H150" t="s">
        <v>73</v>
      </c>
      <c r="I150" t="s">
        <v>6</v>
      </c>
      <c r="J150" t="s">
        <v>69</v>
      </c>
      <c r="K150" t="s">
        <v>36</v>
      </c>
      <c r="L150">
        <f t="shared" si="4"/>
        <v>2026</v>
      </c>
      <c r="M150">
        <f t="shared" si="5"/>
        <v>3</v>
      </c>
    </row>
    <row r="151" spans="1:13" x14ac:dyDescent="0.25">
      <c r="A151" t="s">
        <v>235</v>
      </c>
      <c r="B151" s="16">
        <v>46108</v>
      </c>
      <c r="C151" t="s">
        <v>56</v>
      </c>
      <c r="D151" t="s">
        <v>52</v>
      </c>
      <c r="E151">
        <v>28</v>
      </c>
      <c r="F151">
        <v>220</v>
      </c>
      <c r="G151">
        <v>6160</v>
      </c>
      <c r="H151" t="s">
        <v>53</v>
      </c>
      <c r="I151" t="s">
        <v>6</v>
      </c>
      <c r="J151" t="s">
        <v>74</v>
      </c>
      <c r="K151" t="s">
        <v>34</v>
      </c>
      <c r="L151">
        <f t="shared" si="4"/>
        <v>2026</v>
      </c>
      <c r="M151">
        <f t="shared" si="5"/>
        <v>3</v>
      </c>
    </row>
    <row r="152" spans="1:13" x14ac:dyDescent="0.25">
      <c r="A152" t="s">
        <v>236</v>
      </c>
      <c r="B152" s="16">
        <v>46109</v>
      </c>
      <c r="C152" t="s">
        <v>61</v>
      </c>
      <c r="D152" t="s">
        <v>57</v>
      </c>
      <c r="E152">
        <v>30</v>
      </c>
      <c r="F152">
        <v>300</v>
      </c>
      <c r="G152">
        <v>9000</v>
      </c>
      <c r="H152" t="s">
        <v>58</v>
      </c>
      <c r="I152" t="s">
        <v>17</v>
      </c>
      <c r="J152" t="s">
        <v>77</v>
      </c>
      <c r="K152" t="s">
        <v>36</v>
      </c>
      <c r="L152">
        <f t="shared" si="4"/>
        <v>2026</v>
      </c>
      <c r="M152">
        <f t="shared" si="5"/>
        <v>3</v>
      </c>
    </row>
    <row r="153" spans="1:13" x14ac:dyDescent="0.25">
      <c r="A153" t="s">
        <v>237</v>
      </c>
      <c r="B153" s="16">
        <v>46110</v>
      </c>
      <c r="C153" t="s">
        <v>66</v>
      </c>
      <c r="D153" t="s">
        <v>62</v>
      </c>
      <c r="E153">
        <v>72</v>
      </c>
      <c r="F153">
        <v>250</v>
      </c>
      <c r="G153">
        <v>18000</v>
      </c>
      <c r="H153" t="s">
        <v>63</v>
      </c>
      <c r="I153" t="s">
        <v>17</v>
      </c>
      <c r="J153" t="s">
        <v>80</v>
      </c>
      <c r="K153" t="s">
        <v>35</v>
      </c>
      <c r="L153">
        <f t="shared" si="4"/>
        <v>2026</v>
      </c>
      <c r="M153">
        <f t="shared" si="5"/>
        <v>3</v>
      </c>
    </row>
    <row r="154" spans="1:13" x14ac:dyDescent="0.25">
      <c r="A154" t="s">
        <v>238</v>
      </c>
      <c r="B154" s="16">
        <v>46111</v>
      </c>
      <c r="C154" t="s">
        <v>97</v>
      </c>
      <c r="D154" t="s">
        <v>67</v>
      </c>
      <c r="E154">
        <v>74</v>
      </c>
      <c r="F154">
        <v>450</v>
      </c>
      <c r="G154">
        <v>33300</v>
      </c>
      <c r="H154" t="s">
        <v>68</v>
      </c>
      <c r="I154" t="s">
        <v>19</v>
      </c>
      <c r="J154" t="s">
        <v>83</v>
      </c>
      <c r="K154" t="s">
        <v>33</v>
      </c>
      <c r="L154">
        <f t="shared" si="4"/>
        <v>2026</v>
      </c>
      <c r="M154">
        <f t="shared" si="5"/>
        <v>3</v>
      </c>
    </row>
    <row r="155" spans="1:13" x14ac:dyDescent="0.25">
      <c r="A155" t="s">
        <v>239</v>
      </c>
      <c r="B155" s="16">
        <v>46113</v>
      </c>
      <c r="C155" t="s">
        <v>51</v>
      </c>
      <c r="D155" t="s">
        <v>72</v>
      </c>
      <c r="E155">
        <v>79</v>
      </c>
      <c r="F155">
        <v>700</v>
      </c>
      <c r="G155">
        <v>55300</v>
      </c>
      <c r="H155" t="s">
        <v>73</v>
      </c>
      <c r="I155" t="s">
        <v>6</v>
      </c>
      <c r="J155" t="s">
        <v>86</v>
      </c>
      <c r="K155" t="s">
        <v>34</v>
      </c>
      <c r="L155">
        <f t="shared" si="4"/>
        <v>2026</v>
      </c>
      <c r="M155">
        <f t="shared" si="5"/>
        <v>4</v>
      </c>
    </row>
    <row r="156" spans="1:13" x14ac:dyDescent="0.25">
      <c r="A156" t="s">
        <v>240</v>
      </c>
      <c r="B156" s="16">
        <v>46114</v>
      </c>
      <c r="C156" t="s">
        <v>56</v>
      </c>
      <c r="D156" t="s">
        <v>52</v>
      </c>
      <c r="E156">
        <v>30</v>
      </c>
      <c r="F156">
        <v>220</v>
      </c>
      <c r="G156">
        <v>6600</v>
      </c>
      <c r="H156" t="s">
        <v>53</v>
      </c>
      <c r="I156" t="s">
        <v>6</v>
      </c>
      <c r="J156" t="s">
        <v>89</v>
      </c>
      <c r="K156" t="s">
        <v>34</v>
      </c>
      <c r="L156">
        <f t="shared" si="4"/>
        <v>2026</v>
      </c>
      <c r="M156">
        <f t="shared" si="5"/>
        <v>4</v>
      </c>
    </row>
    <row r="157" spans="1:13" x14ac:dyDescent="0.25">
      <c r="A157" t="s">
        <v>241</v>
      </c>
      <c r="B157" s="16">
        <v>46115</v>
      </c>
      <c r="C157" t="s">
        <v>61</v>
      </c>
      <c r="D157" t="s">
        <v>57</v>
      </c>
      <c r="E157">
        <v>20</v>
      </c>
      <c r="F157">
        <v>300</v>
      </c>
      <c r="G157">
        <v>6000</v>
      </c>
      <c r="H157" t="s">
        <v>58</v>
      </c>
      <c r="I157" t="s">
        <v>17</v>
      </c>
      <c r="J157" t="s">
        <v>92</v>
      </c>
      <c r="K157" t="s">
        <v>34</v>
      </c>
      <c r="L157">
        <f t="shared" si="4"/>
        <v>2026</v>
      </c>
      <c r="M157">
        <f t="shared" si="5"/>
        <v>4</v>
      </c>
    </row>
    <row r="158" spans="1:13" x14ac:dyDescent="0.25">
      <c r="A158" t="s">
        <v>242</v>
      </c>
      <c r="B158" s="16">
        <v>46116</v>
      </c>
      <c r="C158" t="s">
        <v>91</v>
      </c>
      <c r="D158" t="s">
        <v>62</v>
      </c>
      <c r="E158">
        <v>67</v>
      </c>
      <c r="F158">
        <v>250</v>
      </c>
      <c r="G158">
        <v>16750</v>
      </c>
      <c r="H158" t="s">
        <v>63</v>
      </c>
      <c r="I158" t="s">
        <v>17</v>
      </c>
      <c r="J158" t="s">
        <v>95</v>
      </c>
      <c r="K158" t="s">
        <v>34</v>
      </c>
      <c r="L158">
        <f t="shared" si="4"/>
        <v>2026</v>
      </c>
      <c r="M158">
        <f t="shared" si="5"/>
        <v>4</v>
      </c>
    </row>
    <row r="159" spans="1:13" x14ac:dyDescent="0.25">
      <c r="A159" t="s">
        <v>243</v>
      </c>
      <c r="B159" s="16">
        <v>46117</v>
      </c>
      <c r="C159" t="s">
        <v>94</v>
      </c>
      <c r="D159" t="s">
        <v>67</v>
      </c>
      <c r="E159">
        <v>56</v>
      </c>
      <c r="F159">
        <v>450</v>
      </c>
      <c r="G159">
        <v>25200</v>
      </c>
      <c r="H159" t="s">
        <v>68</v>
      </c>
      <c r="I159" t="s">
        <v>19</v>
      </c>
      <c r="J159" t="s">
        <v>98</v>
      </c>
      <c r="K159" t="s">
        <v>33</v>
      </c>
      <c r="L159">
        <f t="shared" si="4"/>
        <v>2026</v>
      </c>
      <c r="M159">
        <f t="shared" si="5"/>
        <v>4</v>
      </c>
    </row>
    <row r="160" spans="1:13" x14ac:dyDescent="0.25">
      <c r="A160" t="s">
        <v>244</v>
      </c>
      <c r="B160" s="16">
        <v>46118</v>
      </c>
      <c r="C160" t="s">
        <v>97</v>
      </c>
      <c r="D160" t="s">
        <v>72</v>
      </c>
      <c r="E160">
        <v>80</v>
      </c>
      <c r="F160">
        <v>700</v>
      </c>
      <c r="G160">
        <v>56000</v>
      </c>
      <c r="H160" t="s">
        <v>73</v>
      </c>
      <c r="I160" t="s">
        <v>6</v>
      </c>
      <c r="J160" t="s">
        <v>86</v>
      </c>
      <c r="K160" t="s">
        <v>34</v>
      </c>
      <c r="L160">
        <f t="shared" si="4"/>
        <v>2026</v>
      </c>
      <c r="M160">
        <f t="shared" si="5"/>
        <v>4</v>
      </c>
    </row>
    <row r="161" spans="1:13" x14ac:dyDescent="0.25">
      <c r="A161" t="s">
        <v>245</v>
      </c>
      <c r="B161" s="16">
        <v>46119</v>
      </c>
      <c r="C161" t="s">
        <v>85</v>
      </c>
      <c r="D161" t="s">
        <v>52</v>
      </c>
      <c r="E161">
        <v>47</v>
      </c>
      <c r="F161">
        <v>220</v>
      </c>
      <c r="G161">
        <v>10340</v>
      </c>
      <c r="H161" t="s">
        <v>53</v>
      </c>
      <c r="I161" t="s">
        <v>6</v>
      </c>
      <c r="J161" t="s">
        <v>89</v>
      </c>
      <c r="K161" t="s">
        <v>34</v>
      </c>
      <c r="L161">
        <f t="shared" si="4"/>
        <v>2026</v>
      </c>
      <c r="M161">
        <f t="shared" si="5"/>
        <v>4</v>
      </c>
    </row>
    <row r="162" spans="1:13" x14ac:dyDescent="0.25">
      <c r="A162" t="s">
        <v>246</v>
      </c>
      <c r="B162" s="16">
        <v>46120</v>
      </c>
      <c r="C162" t="s">
        <v>88</v>
      </c>
      <c r="D162" t="s">
        <v>57</v>
      </c>
      <c r="E162">
        <v>72</v>
      </c>
      <c r="F162">
        <v>300</v>
      </c>
      <c r="G162">
        <v>21600</v>
      </c>
      <c r="H162" t="s">
        <v>58</v>
      </c>
      <c r="I162" t="s">
        <v>17</v>
      </c>
      <c r="J162" t="s">
        <v>92</v>
      </c>
      <c r="K162" t="s">
        <v>34</v>
      </c>
      <c r="L162">
        <f t="shared" si="4"/>
        <v>2026</v>
      </c>
      <c r="M162">
        <f t="shared" si="5"/>
        <v>4</v>
      </c>
    </row>
    <row r="163" spans="1:13" x14ac:dyDescent="0.25">
      <c r="A163" t="s">
        <v>247</v>
      </c>
      <c r="B163" s="16">
        <v>46115</v>
      </c>
      <c r="C163" t="s">
        <v>91</v>
      </c>
      <c r="D163" t="s">
        <v>62</v>
      </c>
      <c r="E163">
        <v>70</v>
      </c>
      <c r="F163">
        <v>250</v>
      </c>
      <c r="G163">
        <v>17500</v>
      </c>
      <c r="H163" t="s">
        <v>63</v>
      </c>
      <c r="I163" t="s">
        <v>17</v>
      </c>
      <c r="J163" t="s">
        <v>95</v>
      </c>
      <c r="K163" t="s">
        <v>34</v>
      </c>
      <c r="L163">
        <f t="shared" si="4"/>
        <v>2026</v>
      </c>
      <c r="M163">
        <f t="shared" si="5"/>
        <v>4</v>
      </c>
    </row>
    <row r="164" spans="1:13" x14ac:dyDescent="0.25">
      <c r="A164" t="s">
        <v>248</v>
      </c>
      <c r="B164" s="16">
        <v>46116</v>
      </c>
      <c r="C164" t="s">
        <v>94</v>
      </c>
      <c r="D164" t="s">
        <v>67</v>
      </c>
      <c r="E164">
        <v>55</v>
      </c>
      <c r="F164">
        <v>450</v>
      </c>
      <c r="G164">
        <v>24750</v>
      </c>
      <c r="H164" t="s">
        <v>68</v>
      </c>
      <c r="I164" t="s">
        <v>19</v>
      </c>
      <c r="J164" t="s">
        <v>54</v>
      </c>
      <c r="K164" t="s">
        <v>33</v>
      </c>
      <c r="L164">
        <f t="shared" si="4"/>
        <v>2026</v>
      </c>
      <c r="M164">
        <f t="shared" si="5"/>
        <v>4</v>
      </c>
    </row>
    <row r="165" spans="1:13" x14ac:dyDescent="0.25">
      <c r="A165" t="s">
        <v>249</v>
      </c>
      <c r="B165" s="16">
        <v>46123</v>
      </c>
      <c r="C165" t="s">
        <v>51</v>
      </c>
      <c r="D165" t="s">
        <v>72</v>
      </c>
      <c r="E165">
        <v>66</v>
      </c>
      <c r="F165">
        <v>700</v>
      </c>
      <c r="G165">
        <v>46200</v>
      </c>
      <c r="H165" t="s">
        <v>73</v>
      </c>
      <c r="I165" t="s">
        <v>6</v>
      </c>
      <c r="J165" t="s">
        <v>59</v>
      </c>
      <c r="K165" t="s">
        <v>36</v>
      </c>
      <c r="L165">
        <f t="shared" si="4"/>
        <v>2026</v>
      </c>
      <c r="M165">
        <f t="shared" si="5"/>
        <v>4</v>
      </c>
    </row>
    <row r="166" spans="1:13" x14ac:dyDescent="0.25">
      <c r="A166" t="s">
        <v>250</v>
      </c>
      <c r="B166" s="16">
        <v>46124</v>
      </c>
      <c r="C166" t="s">
        <v>56</v>
      </c>
      <c r="D166" t="s">
        <v>52</v>
      </c>
      <c r="E166">
        <v>74</v>
      </c>
      <c r="F166">
        <v>220</v>
      </c>
      <c r="G166">
        <v>16280</v>
      </c>
      <c r="H166" t="s">
        <v>53</v>
      </c>
      <c r="I166" t="s">
        <v>6</v>
      </c>
      <c r="J166" t="s">
        <v>64</v>
      </c>
      <c r="K166" t="s">
        <v>35</v>
      </c>
      <c r="L166">
        <f t="shared" si="4"/>
        <v>2026</v>
      </c>
      <c r="M166">
        <f t="shared" si="5"/>
        <v>4</v>
      </c>
    </row>
    <row r="167" spans="1:13" x14ac:dyDescent="0.25">
      <c r="A167" t="s">
        <v>251</v>
      </c>
      <c r="B167" s="16">
        <v>46125</v>
      </c>
      <c r="C167" t="s">
        <v>61</v>
      </c>
      <c r="D167" t="s">
        <v>57</v>
      </c>
      <c r="E167">
        <v>31</v>
      </c>
      <c r="F167">
        <v>300</v>
      </c>
      <c r="G167">
        <v>9300</v>
      </c>
      <c r="H167" t="s">
        <v>58</v>
      </c>
      <c r="I167" t="s">
        <v>17</v>
      </c>
      <c r="J167" t="s">
        <v>69</v>
      </c>
      <c r="K167" t="s">
        <v>36</v>
      </c>
      <c r="L167">
        <f t="shared" si="4"/>
        <v>2026</v>
      </c>
      <c r="M167">
        <f t="shared" si="5"/>
        <v>4</v>
      </c>
    </row>
    <row r="168" spans="1:13" x14ac:dyDescent="0.25">
      <c r="A168" t="s">
        <v>252</v>
      </c>
      <c r="B168" s="16">
        <v>46126</v>
      </c>
      <c r="C168" t="s">
        <v>66</v>
      </c>
      <c r="D168" t="s">
        <v>62</v>
      </c>
      <c r="E168">
        <v>33</v>
      </c>
      <c r="F168">
        <v>250</v>
      </c>
      <c r="G168">
        <v>8250</v>
      </c>
      <c r="H168" t="s">
        <v>63</v>
      </c>
      <c r="I168" t="s">
        <v>17</v>
      </c>
      <c r="J168" t="s">
        <v>74</v>
      </c>
      <c r="K168" t="s">
        <v>34</v>
      </c>
      <c r="L168">
        <f t="shared" si="4"/>
        <v>2026</v>
      </c>
      <c r="M168">
        <f t="shared" si="5"/>
        <v>4</v>
      </c>
    </row>
    <row r="169" spans="1:13" x14ac:dyDescent="0.25">
      <c r="A169" t="s">
        <v>253</v>
      </c>
      <c r="B169" s="16">
        <v>46127</v>
      </c>
      <c r="C169" t="s">
        <v>97</v>
      </c>
      <c r="D169" t="s">
        <v>67</v>
      </c>
      <c r="E169">
        <v>21</v>
      </c>
      <c r="F169">
        <v>450</v>
      </c>
      <c r="G169">
        <v>9450</v>
      </c>
      <c r="H169" t="s">
        <v>68</v>
      </c>
      <c r="I169" t="s">
        <v>19</v>
      </c>
      <c r="J169" t="s">
        <v>54</v>
      </c>
      <c r="K169" t="s">
        <v>33</v>
      </c>
      <c r="L169">
        <f t="shared" si="4"/>
        <v>2026</v>
      </c>
      <c r="M169">
        <f t="shared" si="5"/>
        <v>4</v>
      </c>
    </row>
    <row r="170" spans="1:13" x14ac:dyDescent="0.25">
      <c r="A170" t="s">
        <v>254</v>
      </c>
      <c r="B170" s="16">
        <v>46128</v>
      </c>
      <c r="C170" t="s">
        <v>88</v>
      </c>
      <c r="D170" t="s">
        <v>72</v>
      </c>
      <c r="E170">
        <v>56</v>
      </c>
      <c r="F170">
        <v>700</v>
      </c>
      <c r="G170">
        <v>39200</v>
      </c>
      <c r="H170" t="s">
        <v>73</v>
      </c>
      <c r="I170" t="s">
        <v>6</v>
      </c>
      <c r="J170" t="s">
        <v>59</v>
      </c>
      <c r="K170" t="s">
        <v>36</v>
      </c>
      <c r="L170">
        <f t="shared" si="4"/>
        <v>2026</v>
      </c>
      <c r="M170">
        <f t="shared" si="5"/>
        <v>4</v>
      </c>
    </row>
    <row r="171" spans="1:13" x14ac:dyDescent="0.25">
      <c r="A171" t="s">
        <v>255</v>
      </c>
      <c r="B171" s="16">
        <v>46129</v>
      </c>
      <c r="C171" t="s">
        <v>91</v>
      </c>
      <c r="D171" t="s">
        <v>52</v>
      </c>
      <c r="E171">
        <v>38</v>
      </c>
      <c r="F171">
        <v>220</v>
      </c>
      <c r="G171">
        <v>8360</v>
      </c>
      <c r="H171" t="s">
        <v>53</v>
      </c>
      <c r="I171" t="s">
        <v>6</v>
      </c>
      <c r="J171" t="s">
        <v>64</v>
      </c>
      <c r="K171" t="s">
        <v>35</v>
      </c>
      <c r="L171">
        <f t="shared" si="4"/>
        <v>2026</v>
      </c>
      <c r="M171">
        <f t="shared" si="5"/>
        <v>4</v>
      </c>
    </row>
    <row r="172" spans="1:13" x14ac:dyDescent="0.25">
      <c r="A172" t="s">
        <v>256</v>
      </c>
      <c r="B172" s="16">
        <v>46130</v>
      </c>
      <c r="C172" t="s">
        <v>94</v>
      </c>
      <c r="D172" t="s">
        <v>57</v>
      </c>
      <c r="E172">
        <v>72</v>
      </c>
      <c r="F172">
        <v>300</v>
      </c>
      <c r="G172">
        <v>21600</v>
      </c>
      <c r="H172" t="s">
        <v>58</v>
      </c>
      <c r="I172" t="s">
        <v>17</v>
      </c>
      <c r="J172" t="s">
        <v>92</v>
      </c>
      <c r="K172" t="s">
        <v>34</v>
      </c>
      <c r="L172">
        <f t="shared" si="4"/>
        <v>2026</v>
      </c>
      <c r="M172">
        <f t="shared" si="5"/>
        <v>4</v>
      </c>
    </row>
    <row r="173" spans="1:13" x14ac:dyDescent="0.25">
      <c r="A173" t="s">
        <v>257</v>
      </c>
      <c r="B173" s="16">
        <v>46131</v>
      </c>
      <c r="C173" t="s">
        <v>51</v>
      </c>
      <c r="D173" t="s">
        <v>62</v>
      </c>
      <c r="E173">
        <v>23</v>
      </c>
      <c r="F173">
        <v>250</v>
      </c>
      <c r="G173">
        <v>5750</v>
      </c>
      <c r="H173" t="s">
        <v>63</v>
      </c>
      <c r="I173" t="s">
        <v>17</v>
      </c>
      <c r="J173" t="s">
        <v>95</v>
      </c>
      <c r="K173" t="s">
        <v>34</v>
      </c>
      <c r="L173">
        <f t="shared" si="4"/>
        <v>2026</v>
      </c>
      <c r="M173">
        <f t="shared" si="5"/>
        <v>4</v>
      </c>
    </row>
    <row r="174" spans="1:13" x14ac:dyDescent="0.25">
      <c r="A174" t="s">
        <v>258</v>
      </c>
      <c r="B174" s="16">
        <v>46132</v>
      </c>
      <c r="C174" t="s">
        <v>56</v>
      </c>
      <c r="D174" t="s">
        <v>67</v>
      </c>
      <c r="E174">
        <v>50</v>
      </c>
      <c r="F174">
        <v>450</v>
      </c>
      <c r="G174">
        <v>22500</v>
      </c>
      <c r="H174" t="s">
        <v>68</v>
      </c>
      <c r="I174" t="s">
        <v>19</v>
      </c>
      <c r="J174" t="s">
        <v>98</v>
      </c>
      <c r="K174" t="s">
        <v>33</v>
      </c>
      <c r="L174">
        <f t="shared" si="4"/>
        <v>2026</v>
      </c>
      <c r="M174">
        <f t="shared" si="5"/>
        <v>4</v>
      </c>
    </row>
    <row r="175" spans="1:13" x14ac:dyDescent="0.25">
      <c r="A175" t="s">
        <v>259</v>
      </c>
      <c r="B175" s="16">
        <v>46133</v>
      </c>
      <c r="C175" t="s">
        <v>61</v>
      </c>
      <c r="D175" t="s">
        <v>72</v>
      </c>
      <c r="E175">
        <v>21</v>
      </c>
      <c r="F175">
        <v>700</v>
      </c>
      <c r="G175">
        <v>14700</v>
      </c>
      <c r="H175" t="s">
        <v>73</v>
      </c>
      <c r="I175" t="s">
        <v>6</v>
      </c>
      <c r="J175" t="s">
        <v>86</v>
      </c>
      <c r="K175" t="s">
        <v>34</v>
      </c>
      <c r="L175">
        <f t="shared" si="4"/>
        <v>2026</v>
      </c>
      <c r="M175">
        <f t="shared" si="5"/>
        <v>4</v>
      </c>
    </row>
    <row r="176" spans="1:13" x14ac:dyDescent="0.25">
      <c r="A176" t="s">
        <v>260</v>
      </c>
      <c r="B176" s="16">
        <v>46134</v>
      </c>
      <c r="C176" t="s">
        <v>66</v>
      </c>
      <c r="D176" t="s">
        <v>52</v>
      </c>
      <c r="E176">
        <v>35</v>
      </c>
      <c r="F176">
        <v>220</v>
      </c>
      <c r="G176">
        <v>7700</v>
      </c>
      <c r="H176" t="s">
        <v>53</v>
      </c>
      <c r="I176" t="s">
        <v>6</v>
      </c>
      <c r="J176" t="s">
        <v>89</v>
      </c>
      <c r="K176" t="s">
        <v>34</v>
      </c>
      <c r="L176">
        <f t="shared" si="4"/>
        <v>2026</v>
      </c>
      <c r="M176">
        <f t="shared" si="5"/>
        <v>4</v>
      </c>
    </row>
    <row r="177" spans="1:13" x14ac:dyDescent="0.25">
      <c r="A177" t="s">
        <v>261</v>
      </c>
      <c r="B177" s="16">
        <v>46135</v>
      </c>
      <c r="C177" t="s">
        <v>71</v>
      </c>
      <c r="D177" t="s">
        <v>57</v>
      </c>
      <c r="E177">
        <v>34</v>
      </c>
      <c r="F177">
        <v>300</v>
      </c>
      <c r="G177">
        <v>10200</v>
      </c>
      <c r="H177" t="s">
        <v>58</v>
      </c>
      <c r="I177" t="s">
        <v>17</v>
      </c>
      <c r="J177" t="s">
        <v>92</v>
      </c>
      <c r="K177" t="s">
        <v>34</v>
      </c>
      <c r="L177">
        <f t="shared" si="4"/>
        <v>2026</v>
      </c>
      <c r="M177">
        <f t="shared" si="5"/>
        <v>4</v>
      </c>
    </row>
    <row r="178" spans="1:13" x14ac:dyDescent="0.25">
      <c r="A178" t="s">
        <v>262</v>
      </c>
      <c r="B178" s="16">
        <v>46136</v>
      </c>
      <c r="C178" t="s">
        <v>51</v>
      </c>
      <c r="D178" t="s">
        <v>62</v>
      </c>
      <c r="E178">
        <v>62</v>
      </c>
      <c r="F178">
        <v>250</v>
      </c>
      <c r="G178">
        <v>15500</v>
      </c>
      <c r="H178" t="s">
        <v>63</v>
      </c>
      <c r="I178" t="s">
        <v>17</v>
      </c>
      <c r="J178" t="s">
        <v>95</v>
      </c>
      <c r="K178" t="s">
        <v>34</v>
      </c>
      <c r="L178">
        <f t="shared" si="4"/>
        <v>2026</v>
      </c>
      <c r="M178">
        <f t="shared" si="5"/>
        <v>4</v>
      </c>
    </row>
    <row r="179" spans="1:13" x14ac:dyDescent="0.25">
      <c r="A179" t="s">
        <v>263</v>
      </c>
      <c r="B179" s="16">
        <v>46137</v>
      </c>
      <c r="C179" t="s">
        <v>56</v>
      </c>
      <c r="D179" t="s">
        <v>67</v>
      </c>
      <c r="E179">
        <v>20</v>
      </c>
      <c r="F179">
        <v>450</v>
      </c>
      <c r="G179">
        <v>9000</v>
      </c>
      <c r="H179" t="s">
        <v>68</v>
      </c>
      <c r="I179" t="s">
        <v>19</v>
      </c>
      <c r="J179" t="s">
        <v>54</v>
      </c>
      <c r="K179" t="s">
        <v>33</v>
      </c>
      <c r="L179">
        <f t="shared" si="4"/>
        <v>2026</v>
      </c>
      <c r="M179">
        <f t="shared" si="5"/>
        <v>4</v>
      </c>
    </row>
    <row r="180" spans="1:13" x14ac:dyDescent="0.25">
      <c r="A180" t="s">
        <v>264</v>
      </c>
      <c r="B180" s="16">
        <v>46138</v>
      </c>
      <c r="C180" t="s">
        <v>61</v>
      </c>
      <c r="D180" t="s">
        <v>72</v>
      </c>
      <c r="E180">
        <v>32</v>
      </c>
      <c r="F180">
        <v>700</v>
      </c>
      <c r="G180">
        <v>22400</v>
      </c>
      <c r="H180" t="s">
        <v>73</v>
      </c>
      <c r="I180" t="s">
        <v>6</v>
      </c>
      <c r="J180" t="s">
        <v>59</v>
      </c>
      <c r="K180" t="s">
        <v>36</v>
      </c>
      <c r="L180">
        <f t="shared" si="4"/>
        <v>2026</v>
      </c>
      <c r="M180">
        <f t="shared" si="5"/>
        <v>4</v>
      </c>
    </row>
    <row r="181" spans="1:13" x14ac:dyDescent="0.25">
      <c r="A181" t="s">
        <v>265</v>
      </c>
      <c r="B181" s="16">
        <v>46139</v>
      </c>
      <c r="C181" t="s">
        <v>91</v>
      </c>
      <c r="D181" t="s">
        <v>52</v>
      </c>
      <c r="E181">
        <v>55</v>
      </c>
      <c r="F181">
        <v>220</v>
      </c>
      <c r="G181">
        <v>12100</v>
      </c>
      <c r="H181" t="s">
        <v>53</v>
      </c>
      <c r="I181" t="s">
        <v>6</v>
      </c>
      <c r="J181" t="s">
        <v>64</v>
      </c>
      <c r="K181" t="s">
        <v>35</v>
      </c>
      <c r="L181">
        <f t="shared" si="4"/>
        <v>2026</v>
      </c>
      <c r="M181">
        <f t="shared" si="5"/>
        <v>4</v>
      </c>
    </row>
    <row r="182" spans="1:13" x14ac:dyDescent="0.25">
      <c r="A182" t="s">
        <v>266</v>
      </c>
      <c r="B182" s="16">
        <v>46140</v>
      </c>
      <c r="C182" t="s">
        <v>94</v>
      </c>
      <c r="D182" t="s">
        <v>57</v>
      </c>
      <c r="E182">
        <v>28</v>
      </c>
      <c r="F182">
        <v>300</v>
      </c>
      <c r="G182">
        <v>8400</v>
      </c>
      <c r="H182" t="s">
        <v>58</v>
      </c>
      <c r="I182" t="s">
        <v>17</v>
      </c>
      <c r="J182" t="s">
        <v>69</v>
      </c>
      <c r="K182" t="s">
        <v>36</v>
      </c>
      <c r="L182">
        <f t="shared" si="4"/>
        <v>2026</v>
      </c>
      <c r="M182">
        <f t="shared" si="5"/>
        <v>4</v>
      </c>
    </row>
    <row r="183" spans="1:13" x14ac:dyDescent="0.25">
      <c r="A183" t="s">
        <v>267</v>
      </c>
      <c r="B183" s="16">
        <v>46141</v>
      </c>
      <c r="C183" t="s">
        <v>97</v>
      </c>
      <c r="D183" t="s">
        <v>62</v>
      </c>
      <c r="E183">
        <v>67</v>
      </c>
      <c r="F183">
        <v>250</v>
      </c>
      <c r="G183">
        <v>16750</v>
      </c>
      <c r="H183" t="s">
        <v>63</v>
      </c>
      <c r="I183" t="s">
        <v>17</v>
      </c>
      <c r="J183" t="s">
        <v>98</v>
      </c>
      <c r="K183" t="s">
        <v>33</v>
      </c>
      <c r="L183">
        <f t="shared" si="4"/>
        <v>2026</v>
      </c>
      <c r="M183">
        <f t="shared" si="5"/>
        <v>4</v>
      </c>
    </row>
    <row r="184" spans="1:13" x14ac:dyDescent="0.25">
      <c r="A184" t="s">
        <v>268</v>
      </c>
      <c r="B184" s="16">
        <v>46142</v>
      </c>
      <c r="C184" t="s">
        <v>85</v>
      </c>
      <c r="D184" t="s">
        <v>67</v>
      </c>
      <c r="E184">
        <v>49</v>
      </c>
      <c r="F184">
        <v>450</v>
      </c>
      <c r="G184">
        <v>22050</v>
      </c>
      <c r="H184" t="s">
        <v>68</v>
      </c>
      <c r="I184" t="s">
        <v>19</v>
      </c>
      <c r="J184" t="s">
        <v>98</v>
      </c>
      <c r="K184" t="s">
        <v>33</v>
      </c>
      <c r="L184">
        <f t="shared" si="4"/>
        <v>2026</v>
      </c>
      <c r="M184">
        <f t="shared" si="5"/>
        <v>4</v>
      </c>
    </row>
    <row r="185" spans="1:13" x14ac:dyDescent="0.25">
      <c r="A185" t="s">
        <v>269</v>
      </c>
      <c r="B185" s="16">
        <v>46142</v>
      </c>
      <c r="C185" t="s">
        <v>88</v>
      </c>
      <c r="D185" t="s">
        <v>72</v>
      </c>
      <c r="E185">
        <v>37</v>
      </c>
      <c r="F185">
        <v>700</v>
      </c>
      <c r="G185">
        <v>25900</v>
      </c>
      <c r="H185" t="s">
        <v>73</v>
      </c>
      <c r="I185" t="s">
        <v>6</v>
      </c>
      <c r="J185" t="s">
        <v>86</v>
      </c>
      <c r="K185" t="s">
        <v>34</v>
      </c>
      <c r="L185">
        <f t="shared" si="4"/>
        <v>2026</v>
      </c>
      <c r="M185">
        <f t="shared" si="5"/>
        <v>4</v>
      </c>
    </row>
    <row r="186" spans="1:13" x14ac:dyDescent="0.25">
      <c r="A186" t="s">
        <v>270</v>
      </c>
      <c r="B186" s="16">
        <v>46054</v>
      </c>
      <c r="C186" t="s">
        <v>91</v>
      </c>
      <c r="D186" t="s">
        <v>52</v>
      </c>
      <c r="E186">
        <v>34</v>
      </c>
      <c r="F186">
        <v>220</v>
      </c>
      <c r="G186">
        <v>7480</v>
      </c>
      <c r="H186" t="s">
        <v>53</v>
      </c>
      <c r="I186" t="s">
        <v>6</v>
      </c>
      <c r="J186" t="s">
        <v>89</v>
      </c>
      <c r="K186" t="s">
        <v>34</v>
      </c>
      <c r="L186">
        <f t="shared" si="4"/>
        <v>2026</v>
      </c>
      <c r="M186">
        <f t="shared" si="5"/>
        <v>2</v>
      </c>
    </row>
    <row r="187" spans="1:13" x14ac:dyDescent="0.25">
      <c r="A187" t="s">
        <v>271</v>
      </c>
      <c r="B187" s="16">
        <v>46055</v>
      </c>
      <c r="C187" t="s">
        <v>94</v>
      </c>
      <c r="D187" t="s">
        <v>57</v>
      </c>
      <c r="E187">
        <v>54</v>
      </c>
      <c r="F187">
        <v>300</v>
      </c>
      <c r="G187">
        <v>16200</v>
      </c>
      <c r="H187" t="s">
        <v>58</v>
      </c>
      <c r="I187" t="s">
        <v>17</v>
      </c>
      <c r="J187" t="s">
        <v>92</v>
      </c>
      <c r="K187" t="s">
        <v>34</v>
      </c>
      <c r="L187">
        <f t="shared" si="4"/>
        <v>2026</v>
      </c>
      <c r="M187">
        <f t="shared" si="5"/>
        <v>2</v>
      </c>
    </row>
    <row r="188" spans="1:13" x14ac:dyDescent="0.25">
      <c r="A188" t="s">
        <v>272</v>
      </c>
      <c r="B188" s="16">
        <v>46056</v>
      </c>
      <c r="C188" t="s">
        <v>51</v>
      </c>
      <c r="D188" t="s">
        <v>62</v>
      </c>
      <c r="E188">
        <v>36</v>
      </c>
      <c r="F188">
        <v>250</v>
      </c>
      <c r="G188">
        <v>9000</v>
      </c>
      <c r="H188" t="s">
        <v>63</v>
      </c>
      <c r="I188" t="s">
        <v>17</v>
      </c>
      <c r="J188" t="s">
        <v>95</v>
      </c>
      <c r="K188" t="s">
        <v>34</v>
      </c>
      <c r="L188">
        <f t="shared" si="4"/>
        <v>2026</v>
      </c>
      <c r="M188">
        <f t="shared" si="5"/>
        <v>2</v>
      </c>
    </row>
    <row r="189" spans="1:13" x14ac:dyDescent="0.25">
      <c r="A189" t="s">
        <v>273</v>
      </c>
      <c r="B189" s="16">
        <v>46057</v>
      </c>
      <c r="C189" t="s">
        <v>56</v>
      </c>
      <c r="D189" t="s">
        <v>67</v>
      </c>
      <c r="E189">
        <v>62</v>
      </c>
      <c r="F189">
        <v>450</v>
      </c>
      <c r="G189">
        <v>27900</v>
      </c>
      <c r="H189" t="s">
        <v>68</v>
      </c>
      <c r="I189" t="s">
        <v>19</v>
      </c>
      <c r="J189" t="s">
        <v>54</v>
      </c>
      <c r="K189" t="s">
        <v>33</v>
      </c>
      <c r="L189">
        <f t="shared" si="4"/>
        <v>2026</v>
      </c>
      <c r="M189">
        <f t="shared" si="5"/>
        <v>2</v>
      </c>
    </row>
    <row r="190" spans="1:13" x14ac:dyDescent="0.25">
      <c r="A190" t="s">
        <v>274</v>
      </c>
      <c r="B190" s="16">
        <v>46058</v>
      </c>
      <c r="C190" t="s">
        <v>61</v>
      </c>
      <c r="D190" t="s">
        <v>72</v>
      </c>
      <c r="E190">
        <v>57</v>
      </c>
      <c r="F190">
        <v>700</v>
      </c>
      <c r="G190">
        <v>39900</v>
      </c>
      <c r="H190" t="s">
        <v>73</v>
      </c>
      <c r="I190" t="s">
        <v>6</v>
      </c>
      <c r="J190" t="s">
        <v>59</v>
      </c>
      <c r="K190" t="s">
        <v>36</v>
      </c>
      <c r="L190">
        <f t="shared" si="4"/>
        <v>2026</v>
      </c>
      <c r="M190">
        <f t="shared" si="5"/>
        <v>2</v>
      </c>
    </row>
    <row r="191" spans="1:13" x14ac:dyDescent="0.25">
      <c r="A191" t="s">
        <v>275</v>
      </c>
      <c r="B191" s="16">
        <v>46059</v>
      </c>
      <c r="C191" t="s">
        <v>66</v>
      </c>
      <c r="D191" t="s">
        <v>52</v>
      </c>
      <c r="E191">
        <v>80</v>
      </c>
      <c r="F191">
        <v>220</v>
      </c>
      <c r="G191">
        <v>17600</v>
      </c>
      <c r="H191" t="s">
        <v>53</v>
      </c>
      <c r="I191" t="s">
        <v>6</v>
      </c>
      <c r="J191" t="s">
        <v>64</v>
      </c>
      <c r="K191" t="s">
        <v>35</v>
      </c>
      <c r="L191">
        <f t="shared" si="4"/>
        <v>2026</v>
      </c>
      <c r="M191">
        <f t="shared" si="5"/>
        <v>2</v>
      </c>
    </row>
    <row r="192" spans="1:13" x14ac:dyDescent="0.25">
      <c r="A192" t="s">
        <v>276</v>
      </c>
      <c r="B192" s="16">
        <v>46060</v>
      </c>
      <c r="C192" t="s">
        <v>97</v>
      </c>
      <c r="D192" t="s">
        <v>57</v>
      </c>
      <c r="E192">
        <v>63</v>
      </c>
      <c r="F192">
        <v>300</v>
      </c>
      <c r="G192">
        <v>18900</v>
      </c>
      <c r="H192" t="s">
        <v>58</v>
      </c>
      <c r="I192" t="s">
        <v>17</v>
      </c>
      <c r="J192" t="s">
        <v>69</v>
      </c>
      <c r="K192" t="s">
        <v>36</v>
      </c>
      <c r="L192">
        <f t="shared" si="4"/>
        <v>2026</v>
      </c>
      <c r="M192">
        <f t="shared" si="5"/>
        <v>2</v>
      </c>
    </row>
    <row r="193" spans="1:13" x14ac:dyDescent="0.25">
      <c r="A193" t="s">
        <v>277</v>
      </c>
      <c r="B193" s="16">
        <v>46061</v>
      </c>
      <c r="C193" t="s">
        <v>51</v>
      </c>
      <c r="D193" t="s">
        <v>62</v>
      </c>
      <c r="E193">
        <v>79</v>
      </c>
      <c r="F193">
        <v>250</v>
      </c>
      <c r="G193">
        <v>19750</v>
      </c>
      <c r="H193" t="s">
        <v>63</v>
      </c>
      <c r="I193" t="s">
        <v>17</v>
      </c>
      <c r="J193" t="s">
        <v>74</v>
      </c>
      <c r="K193" t="s">
        <v>34</v>
      </c>
      <c r="L193">
        <f t="shared" si="4"/>
        <v>2026</v>
      </c>
      <c r="M193">
        <f t="shared" si="5"/>
        <v>2</v>
      </c>
    </row>
    <row r="194" spans="1:13" x14ac:dyDescent="0.25">
      <c r="A194" t="s">
        <v>278</v>
      </c>
      <c r="B194" s="16">
        <v>46062</v>
      </c>
      <c r="C194" t="s">
        <v>56</v>
      </c>
      <c r="D194" t="s">
        <v>67</v>
      </c>
      <c r="E194">
        <v>72</v>
      </c>
      <c r="F194">
        <v>450</v>
      </c>
      <c r="G194">
        <v>32400</v>
      </c>
      <c r="H194" t="s">
        <v>68</v>
      </c>
      <c r="I194" t="s">
        <v>19</v>
      </c>
      <c r="J194" t="s">
        <v>54</v>
      </c>
      <c r="K194" t="s">
        <v>33</v>
      </c>
      <c r="L194">
        <f t="shared" ref="L194:L257" si="6">YEAR(B194)</f>
        <v>2026</v>
      </c>
      <c r="M194">
        <f t="shared" ref="M194:M257" si="7">MONTH(B194)</f>
        <v>2</v>
      </c>
    </row>
    <row r="195" spans="1:13" x14ac:dyDescent="0.25">
      <c r="A195" t="s">
        <v>279</v>
      </c>
      <c r="B195" s="16">
        <v>46063</v>
      </c>
      <c r="C195" t="s">
        <v>61</v>
      </c>
      <c r="D195" t="s">
        <v>72</v>
      </c>
      <c r="E195">
        <v>60</v>
      </c>
      <c r="F195">
        <v>700</v>
      </c>
      <c r="G195">
        <v>42000</v>
      </c>
      <c r="H195" t="s">
        <v>73</v>
      </c>
      <c r="I195" t="s">
        <v>6</v>
      </c>
      <c r="J195" t="s">
        <v>59</v>
      </c>
      <c r="K195" t="s">
        <v>36</v>
      </c>
      <c r="L195">
        <f t="shared" si="6"/>
        <v>2026</v>
      </c>
      <c r="M195">
        <f t="shared" si="7"/>
        <v>2</v>
      </c>
    </row>
    <row r="196" spans="1:13" x14ac:dyDescent="0.25">
      <c r="A196" t="s">
        <v>280</v>
      </c>
      <c r="B196" s="16">
        <v>46055</v>
      </c>
      <c r="C196" t="s">
        <v>91</v>
      </c>
      <c r="D196" t="s">
        <v>52</v>
      </c>
      <c r="E196">
        <v>67</v>
      </c>
      <c r="F196">
        <v>220</v>
      </c>
      <c r="G196">
        <v>14740</v>
      </c>
      <c r="H196" t="s">
        <v>53</v>
      </c>
      <c r="I196" t="s">
        <v>6</v>
      </c>
      <c r="J196" t="s">
        <v>64</v>
      </c>
      <c r="K196" t="s">
        <v>35</v>
      </c>
      <c r="L196">
        <f t="shared" si="6"/>
        <v>2026</v>
      </c>
      <c r="M196">
        <f t="shared" si="7"/>
        <v>2</v>
      </c>
    </row>
    <row r="197" spans="1:13" x14ac:dyDescent="0.25">
      <c r="A197" t="s">
        <v>281</v>
      </c>
      <c r="B197" s="16">
        <v>46065</v>
      </c>
      <c r="C197" t="s">
        <v>94</v>
      </c>
      <c r="D197" t="s">
        <v>57</v>
      </c>
      <c r="E197">
        <v>36</v>
      </c>
      <c r="F197">
        <v>300</v>
      </c>
      <c r="G197">
        <v>10800</v>
      </c>
      <c r="H197" t="s">
        <v>58</v>
      </c>
      <c r="I197" t="s">
        <v>17</v>
      </c>
      <c r="J197" t="s">
        <v>92</v>
      </c>
      <c r="K197" t="s">
        <v>34</v>
      </c>
      <c r="L197">
        <f t="shared" si="6"/>
        <v>2026</v>
      </c>
      <c r="M197">
        <f t="shared" si="7"/>
        <v>2</v>
      </c>
    </row>
    <row r="198" spans="1:13" x14ac:dyDescent="0.25">
      <c r="A198" t="s">
        <v>282</v>
      </c>
      <c r="B198" s="16">
        <v>46066</v>
      </c>
      <c r="C198" t="s">
        <v>97</v>
      </c>
      <c r="D198" t="s">
        <v>62</v>
      </c>
      <c r="E198">
        <v>50</v>
      </c>
      <c r="F198">
        <v>250</v>
      </c>
      <c r="G198">
        <v>12500</v>
      </c>
      <c r="H198" t="s">
        <v>63</v>
      </c>
      <c r="I198" t="s">
        <v>17</v>
      </c>
      <c r="J198" t="s">
        <v>89</v>
      </c>
      <c r="K198" t="s">
        <v>34</v>
      </c>
      <c r="L198">
        <f t="shared" si="6"/>
        <v>2026</v>
      </c>
      <c r="M198">
        <f t="shared" si="7"/>
        <v>2</v>
      </c>
    </row>
    <row r="199" spans="1:13" x14ac:dyDescent="0.25">
      <c r="A199" t="s">
        <v>283</v>
      </c>
      <c r="B199" s="16">
        <v>46067</v>
      </c>
      <c r="C199" t="s">
        <v>85</v>
      </c>
      <c r="D199" t="s">
        <v>67</v>
      </c>
      <c r="E199">
        <v>66</v>
      </c>
      <c r="F199">
        <v>450</v>
      </c>
      <c r="G199">
        <v>29700</v>
      </c>
      <c r="H199" t="s">
        <v>68</v>
      </c>
      <c r="I199" t="s">
        <v>19</v>
      </c>
      <c r="J199" t="s">
        <v>92</v>
      </c>
      <c r="K199" t="s">
        <v>34</v>
      </c>
      <c r="L199">
        <f t="shared" si="6"/>
        <v>2026</v>
      </c>
      <c r="M199">
        <f t="shared" si="7"/>
        <v>2</v>
      </c>
    </row>
    <row r="200" spans="1:13" x14ac:dyDescent="0.25">
      <c r="A200" t="s">
        <v>284</v>
      </c>
      <c r="B200" s="16">
        <v>46068</v>
      </c>
      <c r="C200" t="s">
        <v>88</v>
      </c>
      <c r="D200" t="s">
        <v>72</v>
      </c>
      <c r="E200">
        <v>70</v>
      </c>
      <c r="F200">
        <v>700</v>
      </c>
      <c r="G200">
        <v>49000</v>
      </c>
      <c r="H200" t="s">
        <v>73</v>
      </c>
      <c r="I200" t="s">
        <v>6</v>
      </c>
      <c r="J200" t="s">
        <v>95</v>
      </c>
      <c r="K200" t="s">
        <v>34</v>
      </c>
      <c r="L200">
        <f t="shared" si="6"/>
        <v>2026</v>
      </c>
      <c r="M200">
        <f t="shared" si="7"/>
        <v>2</v>
      </c>
    </row>
    <row r="201" spans="1:13" x14ac:dyDescent="0.25">
      <c r="A201" t="s">
        <v>285</v>
      </c>
      <c r="B201" s="16">
        <v>46069</v>
      </c>
      <c r="C201" t="s">
        <v>91</v>
      </c>
      <c r="D201" t="s">
        <v>52</v>
      </c>
      <c r="E201">
        <v>33</v>
      </c>
      <c r="F201">
        <v>220</v>
      </c>
      <c r="G201">
        <v>7260</v>
      </c>
      <c r="H201" t="s">
        <v>53</v>
      </c>
      <c r="I201" t="s">
        <v>6</v>
      </c>
      <c r="J201" t="s">
        <v>54</v>
      </c>
      <c r="K201" t="s">
        <v>33</v>
      </c>
      <c r="L201">
        <f t="shared" si="6"/>
        <v>2026</v>
      </c>
      <c r="M201">
        <f t="shared" si="7"/>
        <v>2</v>
      </c>
    </row>
    <row r="202" spans="1:13" x14ac:dyDescent="0.25">
      <c r="A202" t="s">
        <v>286</v>
      </c>
      <c r="B202" s="16">
        <v>46070</v>
      </c>
      <c r="C202" t="s">
        <v>94</v>
      </c>
      <c r="D202" t="s">
        <v>57</v>
      </c>
      <c r="E202">
        <v>56</v>
      </c>
      <c r="F202">
        <v>300</v>
      </c>
      <c r="G202">
        <v>16800</v>
      </c>
      <c r="H202" t="s">
        <v>58</v>
      </c>
      <c r="I202" t="s">
        <v>17</v>
      </c>
      <c r="J202" t="s">
        <v>59</v>
      </c>
      <c r="K202" t="s">
        <v>36</v>
      </c>
      <c r="L202">
        <f t="shared" si="6"/>
        <v>2026</v>
      </c>
      <c r="M202">
        <f t="shared" si="7"/>
        <v>2</v>
      </c>
    </row>
    <row r="203" spans="1:13" x14ac:dyDescent="0.25">
      <c r="A203" t="s">
        <v>287</v>
      </c>
      <c r="B203" s="16">
        <v>46071</v>
      </c>
      <c r="C203" t="s">
        <v>51</v>
      </c>
      <c r="D203" t="s">
        <v>62</v>
      </c>
      <c r="E203">
        <v>20</v>
      </c>
      <c r="F203">
        <v>250</v>
      </c>
      <c r="G203">
        <v>5000</v>
      </c>
      <c r="H203" t="s">
        <v>63</v>
      </c>
      <c r="I203" t="s">
        <v>17</v>
      </c>
      <c r="J203" t="s">
        <v>64</v>
      </c>
      <c r="K203" t="s">
        <v>35</v>
      </c>
      <c r="L203">
        <f t="shared" si="6"/>
        <v>2026</v>
      </c>
      <c r="M203">
        <f t="shared" si="7"/>
        <v>2</v>
      </c>
    </row>
    <row r="204" spans="1:13" x14ac:dyDescent="0.25">
      <c r="A204" t="s">
        <v>288</v>
      </c>
      <c r="B204" s="16">
        <v>46072</v>
      </c>
      <c r="C204" t="s">
        <v>56</v>
      </c>
      <c r="D204" t="s">
        <v>67</v>
      </c>
      <c r="E204">
        <v>75</v>
      </c>
      <c r="F204">
        <v>450</v>
      </c>
      <c r="G204">
        <v>33750</v>
      </c>
      <c r="H204" t="s">
        <v>68</v>
      </c>
      <c r="I204" t="s">
        <v>19</v>
      </c>
      <c r="J204" t="s">
        <v>69</v>
      </c>
      <c r="K204" t="s">
        <v>36</v>
      </c>
      <c r="L204">
        <f t="shared" si="6"/>
        <v>2026</v>
      </c>
      <c r="M204">
        <f t="shared" si="7"/>
        <v>2</v>
      </c>
    </row>
    <row r="205" spans="1:13" x14ac:dyDescent="0.25">
      <c r="A205" t="s">
        <v>289</v>
      </c>
      <c r="B205" s="16">
        <v>46073</v>
      </c>
      <c r="C205" t="s">
        <v>61</v>
      </c>
      <c r="D205" t="s">
        <v>72</v>
      </c>
      <c r="E205">
        <v>37</v>
      </c>
      <c r="F205">
        <v>700</v>
      </c>
      <c r="G205">
        <v>25900</v>
      </c>
      <c r="H205" t="s">
        <v>73</v>
      </c>
      <c r="I205" t="s">
        <v>6</v>
      </c>
      <c r="J205" t="s">
        <v>74</v>
      </c>
      <c r="K205" t="s">
        <v>34</v>
      </c>
      <c r="L205">
        <f t="shared" si="6"/>
        <v>2026</v>
      </c>
      <c r="M205">
        <f t="shared" si="7"/>
        <v>2</v>
      </c>
    </row>
    <row r="206" spans="1:13" x14ac:dyDescent="0.25">
      <c r="A206" t="s">
        <v>290</v>
      </c>
      <c r="B206" s="16">
        <v>46074</v>
      </c>
      <c r="C206" t="s">
        <v>66</v>
      </c>
      <c r="D206" t="s">
        <v>52</v>
      </c>
      <c r="E206">
        <v>33</v>
      </c>
      <c r="F206">
        <v>220</v>
      </c>
      <c r="G206">
        <v>7260</v>
      </c>
      <c r="H206" t="s">
        <v>53</v>
      </c>
      <c r="I206" t="s">
        <v>6</v>
      </c>
      <c r="J206" t="s">
        <v>54</v>
      </c>
      <c r="K206" t="s">
        <v>33</v>
      </c>
      <c r="L206">
        <f t="shared" si="6"/>
        <v>2026</v>
      </c>
      <c r="M206">
        <f t="shared" si="7"/>
        <v>2</v>
      </c>
    </row>
    <row r="207" spans="1:13" x14ac:dyDescent="0.25">
      <c r="A207" t="s">
        <v>291</v>
      </c>
      <c r="B207" s="16">
        <v>46075</v>
      </c>
      <c r="C207" t="s">
        <v>97</v>
      </c>
      <c r="D207" t="s">
        <v>57</v>
      </c>
      <c r="E207">
        <v>47</v>
      </c>
      <c r="F207">
        <v>300</v>
      </c>
      <c r="G207">
        <v>14100</v>
      </c>
      <c r="H207" t="s">
        <v>58</v>
      </c>
      <c r="I207" t="s">
        <v>17</v>
      </c>
      <c r="J207" t="s">
        <v>59</v>
      </c>
      <c r="K207" t="s">
        <v>36</v>
      </c>
      <c r="L207">
        <f t="shared" si="6"/>
        <v>2026</v>
      </c>
      <c r="M207">
        <f t="shared" si="7"/>
        <v>2</v>
      </c>
    </row>
    <row r="208" spans="1:13" x14ac:dyDescent="0.25">
      <c r="A208" t="s">
        <v>292</v>
      </c>
      <c r="B208" s="16">
        <v>46076</v>
      </c>
      <c r="C208" t="s">
        <v>97</v>
      </c>
      <c r="D208" t="s">
        <v>62</v>
      </c>
      <c r="E208">
        <v>39</v>
      </c>
      <c r="F208">
        <v>250</v>
      </c>
      <c r="G208">
        <v>9750</v>
      </c>
      <c r="H208" t="s">
        <v>63</v>
      </c>
      <c r="I208" t="s">
        <v>17</v>
      </c>
      <c r="J208" t="s">
        <v>64</v>
      </c>
      <c r="K208" t="s">
        <v>35</v>
      </c>
      <c r="L208">
        <f t="shared" si="6"/>
        <v>2026</v>
      </c>
      <c r="M208">
        <f t="shared" si="7"/>
        <v>2</v>
      </c>
    </row>
    <row r="209" spans="1:13" x14ac:dyDescent="0.25">
      <c r="A209" t="s">
        <v>293</v>
      </c>
      <c r="B209" s="16">
        <v>46077</v>
      </c>
      <c r="C209" t="s">
        <v>85</v>
      </c>
      <c r="D209" t="s">
        <v>67</v>
      </c>
      <c r="E209">
        <v>31</v>
      </c>
      <c r="F209">
        <v>450</v>
      </c>
      <c r="G209">
        <v>13950</v>
      </c>
      <c r="H209" t="s">
        <v>68</v>
      </c>
      <c r="I209" t="s">
        <v>19</v>
      </c>
      <c r="J209" t="s">
        <v>92</v>
      </c>
      <c r="K209" t="s">
        <v>34</v>
      </c>
      <c r="L209">
        <f t="shared" si="6"/>
        <v>2026</v>
      </c>
      <c r="M209">
        <f t="shared" si="7"/>
        <v>2</v>
      </c>
    </row>
    <row r="210" spans="1:13" x14ac:dyDescent="0.25">
      <c r="A210" t="s">
        <v>294</v>
      </c>
      <c r="B210" s="16">
        <v>46078</v>
      </c>
      <c r="C210" t="s">
        <v>88</v>
      </c>
      <c r="D210" t="s">
        <v>72</v>
      </c>
      <c r="E210">
        <v>53</v>
      </c>
      <c r="F210">
        <v>700</v>
      </c>
      <c r="G210">
        <v>37100</v>
      </c>
      <c r="H210" t="s">
        <v>73</v>
      </c>
      <c r="I210" t="s">
        <v>6</v>
      </c>
      <c r="J210" t="s">
        <v>95</v>
      </c>
      <c r="K210" t="s">
        <v>34</v>
      </c>
      <c r="L210">
        <f t="shared" si="6"/>
        <v>2026</v>
      </c>
      <c r="M210">
        <f t="shared" si="7"/>
        <v>2</v>
      </c>
    </row>
    <row r="211" spans="1:13" x14ac:dyDescent="0.25">
      <c r="A211" t="s">
        <v>295</v>
      </c>
      <c r="B211" s="16">
        <v>46079</v>
      </c>
      <c r="C211" t="s">
        <v>91</v>
      </c>
      <c r="D211" t="s">
        <v>52</v>
      </c>
      <c r="E211">
        <v>44</v>
      </c>
      <c r="F211">
        <v>220</v>
      </c>
      <c r="G211">
        <v>9680</v>
      </c>
      <c r="H211" t="s">
        <v>53</v>
      </c>
      <c r="I211" t="s">
        <v>6</v>
      </c>
      <c r="J211" t="s">
        <v>98</v>
      </c>
      <c r="K211" t="s">
        <v>33</v>
      </c>
      <c r="L211">
        <f t="shared" si="6"/>
        <v>2026</v>
      </c>
      <c r="M211">
        <f t="shared" si="7"/>
        <v>2</v>
      </c>
    </row>
    <row r="212" spans="1:13" x14ac:dyDescent="0.25">
      <c r="A212" t="s">
        <v>296</v>
      </c>
      <c r="B212" s="16">
        <v>46080</v>
      </c>
      <c r="C212" t="s">
        <v>94</v>
      </c>
      <c r="D212" t="s">
        <v>57</v>
      </c>
      <c r="E212">
        <v>52</v>
      </c>
      <c r="F212">
        <v>300</v>
      </c>
      <c r="G212">
        <v>15600</v>
      </c>
      <c r="H212" t="s">
        <v>58</v>
      </c>
      <c r="I212" t="s">
        <v>17</v>
      </c>
      <c r="J212" t="s">
        <v>86</v>
      </c>
      <c r="K212" t="s">
        <v>34</v>
      </c>
      <c r="L212">
        <f t="shared" si="6"/>
        <v>2026</v>
      </c>
      <c r="M212">
        <f t="shared" si="7"/>
        <v>2</v>
      </c>
    </row>
    <row r="213" spans="1:13" x14ac:dyDescent="0.25">
      <c r="A213" t="s">
        <v>297</v>
      </c>
      <c r="B213" s="16">
        <v>46081</v>
      </c>
      <c r="C213" t="s">
        <v>51</v>
      </c>
      <c r="D213" t="s">
        <v>62</v>
      </c>
      <c r="E213">
        <v>55</v>
      </c>
      <c r="F213">
        <v>250</v>
      </c>
      <c r="G213">
        <v>13750</v>
      </c>
      <c r="H213" t="s">
        <v>63</v>
      </c>
      <c r="I213" t="s">
        <v>17</v>
      </c>
      <c r="J213" t="s">
        <v>89</v>
      </c>
      <c r="K213" t="s">
        <v>34</v>
      </c>
      <c r="L213">
        <f t="shared" si="6"/>
        <v>2026</v>
      </c>
      <c r="M213">
        <f t="shared" si="7"/>
        <v>2</v>
      </c>
    </row>
    <row r="214" spans="1:13" x14ac:dyDescent="0.25">
      <c r="A214" t="s">
        <v>298</v>
      </c>
      <c r="B214" s="16">
        <v>46081</v>
      </c>
      <c r="C214" t="s">
        <v>56</v>
      </c>
      <c r="D214" t="s">
        <v>67</v>
      </c>
      <c r="E214">
        <v>25</v>
      </c>
      <c r="F214">
        <v>450</v>
      </c>
      <c r="G214">
        <v>11250</v>
      </c>
      <c r="H214" t="s">
        <v>68</v>
      </c>
      <c r="I214" t="s">
        <v>19</v>
      </c>
      <c r="J214" t="s">
        <v>92</v>
      </c>
      <c r="K214" t="s">
        <v>34</v>
      </c>
      <c r="L214">
        <f t="shared" si="6"/>
        <v>2026</v>
      </c>
      <c r="M214">
        <f t="shared" si="7"/>
        <v>2</v>
      </c>
    </row>
    <row r="215" spans="1:13" x14ac:dyDescent="0.25">
      <c r="A215" t="s">
        <v>299</v>
      </c>
      <c r="B215" s="16">
        <v>46081</v>
      </c>
      <c r="C215" t="s">
        <v>61</v>
      </c>
      <c r="D215" t="s">
        <v>72</v>
      </c>
      <c r="E215">
        <v>54</v>
      </c>
      <c r="F215">
        <v>700</v>
      </c>
      <c r="G215">
        <v>37800</v>
      </c>
      <c r="H215" t="s">
        <v>73</v>
      </c>
      <c r="I215" t="s">
        <v>6</v>
      </c>
      <c r="J215" t="s">
        <v>95</v>
      </c>
      <c r="K215" t="s">
        <v>34</v>
      </c>
      <c r="L215">
        <f t="shared" si="6"/>
        <v>2026</v>
      </c>
      <c r="M215">
        <f t="shared" si="7"/>
        <v>2</v>
      </c>
    </row>
    <row r="216" spans="1:13" x14ac:dyDescent="0.25">
      <c r="A216" t="s">
        <v>300</v>
      </c>
      <c r="B216" s="16">
        <v>46023</v>
      </c>
      <c r="C216" t="s">
        <v>66</v>
      </c>
      <c r="D216" t="s">
        <v>52</v>
      </c>
      <c r="E216">
        <v>69</v>
      </c>
      <c r="F216">
        <v>220</v>
      </c>
      <c r="G216">
        <v>15180</v>
      </c>
      <c r="H216" t="s">
        <v>53</v>
      </c>
      <c r="I216" t="s">
        <v>6</v>
      </c>
      <c r="J216" t="s">
        <v>54</v>
      </c>
      <c r="K216" t="s">
        <v>33</v>
      </c>
      <c r="L216">
        <f t="shared" si="6"/>
        <v>2026</v>
      </c>
      <c r="M216">
        <f t="shared" si="7"/>
        <v>1</v>
      </c>
    </row>
    <row r="217" spans="1:13" x14ac:dyDescent="0.25">
      <c r="A217" t="s">
        <v>301</v>
      </c>
      <c r="B217" s="16">
        <v>46024</v>
      </c>
      <c r="C217" t="s">
        <v>97</v>
      </c>
      <c r="D217" t="s">
        <v>57</v>
      </c>
      <c r="E217">
        <v>26</v>
      </c>
      <c r="F217">
        <v>300</v>
      </c>
      <c r="G217">
        <v>7800</v>
      </c>
      <c r="H217" t="s">
        <v>58</v>
      </c>
      <c r="I217" t="s">
        <v>17</v>
      </c>
      <c r="J217" t="s">
        <v>59</v>
      </c>
      <c r="K217" t="s">
        <v>36</v>
      </c>
      <c r="L217">
        <f t="shared" si="6"/>
        <v>2026</v>
      </c>
      <c r="M217">
        <f t="shared" si="7"/>
        <v>1</v>
      </c>
    </row>
    <row r="218" spans="1:13" x14ac:dyDescent="0.25">
      <c r="A218" t="s">
        <v>302</v>
      </c>
      <c r="B218" s="16">
        <v>46025</v>
      </c>
      <c r="C218" t="s">
        <v>88</v>
      </c>
      <c r="D218" t="s">
        <v>62</v>
      </c>
      <c r="E218">
        <v>51</v>
      </c>
      <c r="F218">
        <v>250</v>
      </c>
      <c r="G218">
        <v>12750</v>
      </c>
      <c r="H218" t="s">
        <v>63</v>
      </c>
      <c r="I218" t="s">
        <v>17</v>
      </c>
      <c r="J218" t="s">
        <v>64</v>
      </c>
      <c r="K218" t="s">
        <v>35</v>
      </c>
      <c r="L218">
        <f t="shared" si="6"/>
        <v>2026</v>
      </c>
      <c r="M218">
        <f t="shared" si="7"/>
        <v>1</v>
      </c>
    </row>
    <row r="219" spans="1:13" x14ac:dyDescent="0.25">
      <c r="A219" t="s">
        <v>303</v>
      </c>
      <c r="B219" s="16">
        <v>46026</v>
      </c>
      <c r="C219" t="s">
        <v>91</v>
      </c>
      <c r="D219" t="s">
        <v>67</v>
      </c>
      <c r="E219">
        <v>28</v>
      </c>
      <c r="F219">
        <v>450</v>
      </c>
      <c r="G219">
        <v>12600</v>
      </c>
      <c r="H219" t="s">
        <v>68</v>
      </c>
      <c r="I219" t="s">
        <v>19</v>
      </c>
      <c r="J219" t="s">
        <v>69</v>
      </c>
      <c r="K219" t="s">
        <v>36</v>
      </c>
      <c r="L219">
        <f t="shared" si="6"/>
        <v>2026</v>
      </c>
      <c r="M219">
        <f t="shared" si="7"/>
        <v>1</v>
      </c>
    </row>
    <row r="220" spans="1:13" x14ac:dyDescent="0.25">
      <c r="A220" t="s">
        <v>304</v>
      </c>
      <c r="B220" s="16">
        <v>46027</v>
      </c>
      <c r="C220" t="s">
        <v>94</v>
      </c>
      <c r="D220" t="s">
        <v>72</v>
      </c>
      <c r="E220">
        <v>53</v>
      </c>
      <c r="F220">
        <v>700</v>
      </c>
      <c r="G220">
        <v>37100</v>
      </c>
      <c r="H220" t="s">
        <v>73</v>
      </c>
      <c r="I220" t="s">
        <v>6</v>
      </c>
      <c r="J220" t="s">
        <v>98</v>
      </c>
      <c r="K220" t="s">
        <v>33</v>
      </c>
      <c r="L220">
        <f t="shared" si="6"/>
        <v>2026</v>
      </c>
      <c r="M220">
        <f t="shared" si="7"/>
        <v>1</v>
      </c>
    </row>
    <row r="221" spans="1:13" x14ac:dyDescent="0.25">
      <c r="A221" t="s">
        <v>305</v>
      </c>
      <c r="B221" s="16">
        <v>46028</v>
      </c>
      <c r="C221" t="s">
        <v>51</v>
      </c>
      <c r="D221" t="s">
        <v>52</v>
      </c>
      <c r="E221">
        <v>67</v>
      </c>
      <c r="F221">
        <v>220</v>
      </c>
      <c r="G221">
        <v>14740</v>
      </c>
      <c r="H221" t="s">
        <v>53</v>
      </c>
      <c r="I221" t="s">
        <v>6</v>
      </c>
      <c r="J221" t="s">
        <v>98</v>
      </c>
      <c r="K221" t="s">
        <v>33</v>
      </c>
      <c r="L221">
        <f t="shared" si="6"/>
        <v>2026</v>
      </c>
      <c r="M221">
        <f t="shared" si="7"/>
        <v>1</v>
      </c>
    </row>
    <row r="222" spans="1:13" x14ac:dyDescent="0.25">
      <c r="A222" t="s">
        <v>306</v>
      </c>
      <c r="B222" s="16">
        <v>46029</v>
      </c>
      <c r="C222" t="s">
        <v>56</v>
      </c>
      <c r="D222" t="s">
        <v>57</v>
      </c>
      <c r="E222">
        <v>65</v>
      </c>
      <c r="F222">
        <v>300</v>
      </c>
      <c r="G222">
        <v>19500</v>
      </c>
      <c r="H222" t="s">
        <v>58</v>
      </c>
      <c r="I222" t="s">
        <v>17</v>
      </c>
      <c r="J222" t="s">
        <v>86</v>
      </c>
      <c r="K222" t="s">
        <v>34</v>
      </c>
      <c r="L222">
        <f t="shared" si="6"/>
        <v>2026</v>
      </c>
      <c r="M222">
        <f t="shared" si="7"/>
        <v>1</v>
      </c>
    </row>
    <row r="223" spans="1:13" x14ac:dyDescent="0.25">
      <c r="A223" t="s">
        <v>307</v>
      </c>
      <c r="B223" s="16">
        <v>46030</v>
      </c>
      <c r="C223" t="s">
        <v>61</v>
      </c>
      <c r="D223" t="s">
        <v>62</v>
      </c>
      <c r="E223">
        <v>47</v>
      </c>
      <c r="F223">
        <v>250</v>
      </c>
      <c r="G223">
        <v>11750</v>
      </c>
      <c r="H223" t="s">
        <v>63</v>
      </c>
      <c r="I223" t="s">
        <v>17</v>
      </c>
      <c r="J223" t="s">
        <v>89</v>
      </c>
      <c r="K223" t="s">
        <v>34</v>
      </c>
      <c r="L223">
        <f t="shared" si="6"/>
        <v>2026</v>
      </c>
      <c r="M223">
        <f t="shared" si="7"/>
        <v>1</v>
      </c>
    </row>
    <row r="224" spans="1:13" x14ac:dyDescent="0.25">
      <c r="A224" t="s">
        <v>308</v>
      </c>
      <c r="B224" s="16">
        <v>46031</v>
      </c>
      <c r="C224" t="s">
        <v>66</v>
      </c>
      <c r="D224" t="s">
        <v>67</v>
      </c>
      <c r="E224">
        <v>28</v>
      </c>
      <c r="F224">
        <v>450</v>
      </c>
      <c r="G224">
        <v>12600</v>
      </c>
      <c r="H224" t="s">
        <v>68</v>
      </c>
      <c r="I224" t="s">
        <v>19</v>
      </c>
      <c r="J224" t="s">
        <v>92</v>
      </c>
      <c r="K224" t="s">
        <v>34</v>
      </c>
      <c r="L224">
        <f t="shared" si="6"/>
        <v>2026</v>
      </c>
      <c r="M224">
        <f t="shared" si="7"/>
        <v>1</v>
      </c>
    </row>
    <row r="225" spans="1:13" x14ac:dyDescent="0.25">
      <c r="A225" t="s">
        <v>309</v>
      </c>
      <c r="B225" s="16">
        <v>46032</v>
      </c>
      <c r="C225" t="s">
        <v>71</v>
      </c>
      <c r="D225" t="s">
        <v>72</v>
      </c>
      <c r="E225">
        <v>53</v>
      </c>
      <c r="F225">
        <v>700</v>
      </c>
      <c r="G225">
        <v>37100</v>
      </c>
      <c r="H225" t="s">
        <v>73</v>
      </c>
      <c r="I225" t="s">
        <v>6</v>
      </c>
      <c r="J225" t="s">
        <v>95</v>
      </c>
      <c r="K225" t="s">
        <v>34</v>
      </c>
      <c r="L225">
        <f t="shared" si="6"/>
        <v>2026</v>
      </c>
      <c r="M225">
        <f t="shared" si="7"/>
        <v>1</v>
      </c>
    </row>
    <row r="226" spans="1:13" x14ac:dyDescent="0.25">
      <c r="A226" t="s">
        <v>310</v>
      </c>
      <c r="B226" s="16">
        <v>46033</v>
      </c>
      <c r="C226" t="s">
        <v>51</v>
      </c>
      <c r="D226" t="s">
        <v>52</v>
      </c>
      <c r="E226">
        <v>33</v>
      </c>
      <c r="F226">
        <v>220</v>
      </c>
      <c r="G226">
        <v>7260</v>
      </c>
      <c r="H226" t="s">
        <v>53</v>
      </c>
      <c r="I226" t="s">
        <v>6</v>
      </c>
      <c r="J226" t="s">
        <v>54</v>
      </c>
      <c r="K226" t="s">
        <v>33</v>
      </c>
      <c r="L226">
        <f t="shared" si="6"/>
        <v>2026</v>
      </c>
      <c r="M226">
        <f t="shared" si="7"/>
        <v>1</v>
      </c>
    </row>
    <row r="227" spans="1:13" x14ac:dyDescent="0.25">
      <c r="A227" t="s">
        <v>311</v>
      </c>
      <c r="B227" s="16">
        <v>46023</v>
      </c>
      <c r="C227" t="s">
        <v>56</v>
      </c>
      <c r="D227" t="s">
        <v>57</v>
      </c>
      <c r="E227">
        <v>50</v>
      </c>
      <c r="F227">
        <v>300</v>
      </c>
      <c r="G227">
        <v>15000</v>
      </c>
      <c r="H227" t="s">
        <v>58</v>
      </c>
      <c r="I227" t="s">
        <v>17</v>
      </c>
      <c r="J227" t="s">
        <v>59</v>
      </c>
      <c r="K227" t="s">
        <v>36</v>
      </c>
      <c r="L227">
        <f t="shared" si="6"/>
        <v>2026</v>
      </c>
      <c r="M227">
        <f t="shared" si="7"/>
        <v>1</v>
      </c>
    </row>
    <row r="228" spans="1:13" x14ac:dyDescent="0.25">
      <c r="A228" t="s">
        <v>312</v>
      </c>
      <c r="B228" s="16">
        <v>46035</v>
      </c>
      <c r="C228" t="s">
        <v>61</v>
      </c>
      <c r="D228" t="s">
        <v>62</v>
      </c>
      <c r="E228">
        <v>44</v>
      </c>
      <c r="F228">
        <v>250</v>
      </c>
      <c r="G228">
        <v>11000</v>
      </c>
      <c r="H228" t="s">
        <v>63</v>
      </c>
      <c r="I228" t="s">
        <v>17</v>
      </c>
      <c r="J228" t="s">
        <v>64</v>
      </c>
      <c r="K228" t="s">
        <v>35</v>
      </c>
      <c r="L228">
        <f t="shared" si="6"/>
        <v>2026</v>
      </c>
      <c r="M228">
        <f t="shared" si="7"/>
        <v>1</v>
      </c>
    </row>
    <row r="229" spans="1:13" x14ac:dyDescent="0.25">
      <c r="A229" t="s">
        <v>313</v>
      </c>
      <c r="B229" s="16">
        <v>46036</v>
      </c>
      <c r="C229" t="s">
        <v>91</v>
      </c>
      <c r="D229" t="s">
        <v>67</v>
      </c>
      <c r="E229">
        <v>74</v>
      </c>
      <c r="F229">
        <v>450</v>
      </c>
      <c r="G229">
        <v>33300</v>
      </c>
      <c r="H229" t="s">
        <v>68</v>
      </c>
      <c r="I229" t="s">
        <v>19</v>
      </c>
      <c r="J229" t="s">
        <v>69</v>
      </c>
      <c r="K229" t="s">
        <v>36</v>
      </c>
      <c r="L229">
        <f t="shared" si="6"/>
        <v>2026</v>
      </c>
      <c r="M229">
        <f t="shared" si="7"/>
        <v>1</v>
      </c>
    </row>
    <row r="230" spans="1:13" x14ac:dyDescent="0.25">
      <c r="A230" t="s">
        <v>314</v>
      </c>
      <c r="B230" s="16">
        <v>46037</v>
      </c>
      <c r="C230" t="s">
        <v>94</v>
      </c>
      <c r="D230" t="s">
        <v>72</v>
      </c>
      <c r="E230">
        <v>74</v>
      </c>
      <c r="F230">
        <v>700</v>
      </c>
      <c r="G230">
        <v>51800</v>
      </c>
      <c r="H230" t="s">
        <v>73</v>
      </c>
      <c r="I230" t="s">
        <v>6</v>
      </c>
      <c r="J230" t="s">
        <v>74</v>
      </c>
      <c r="K230" t="s">
        <v>34</v>
      </c>
      <c r="L230">
        <f t="shared" si="6"/>
        <v>2026</v>
      </c>
      <c r="M230">
        <f t="shared" si="7"/>
        <v>1</v>
      </c>
    </row>
    <row r="231" spans="1:13" x14ac:dyDescent="0.25">
      <c r="A231" t="s">
        <v>315</v>
      </c>
      <c r="B231" s="16">
        <v>46038</v>
      </c>
      <c r="C231" t="s">
        <v>97</v>
      </c>
      <c r="D231" t="s">
        <v>52</v>
      </c>
      <c r="E231">
        <v>38</v>
      </c>
      <c r="F231">
        <v>220</v>
      </c>
      <c r="G231">
        <v>8360</v>
      </c>
      <c r="H231" t="s">
        <v>53</v>
      </c>
      <c r="I231" t="s">
        <v>6</v>
      </c>
      <c r="J231" t="s">
        <v>54</v>
      </c>
      <c r="K231" t="s">
        <v>33</v>
      </c>
      <c r="L231">
        <f t="shared" si="6"/>
        <v>2026</v>
      </c>
      <c r="M231">
        <f t="shared" si="7"/>
        <v>1</v>
      </c>
    </row>
    <row r="232" spans="1:13" x14ac:dyDescent="0.25">
      <c r="A232" t="s">
        <v>316</v>
      </c>
      <c r="B232" s="16">
        <v>46039</v>
      </c>
      <c r="C232" t="s">
        <v>85</v>
      </c>
      <c r="D232" t="s">
        <v>57</v>
      </c>
      <c r="E232">
        <v>30</v>
      </c>
      <c r="F232">
        <v>300</v>
      </c>
      <c r="G232">
        <v>9000</v>
      </c>
      <c r="H232" t="s">
        <v>58</v>
      </c>
      <c r="I232" t="s">
        <v>17</v>
      </c>
      <c r="J232" t="s">
        <v>59</v>
      </c>
      <c r="K232" t="s">
        <v>36</v>
      </c>
      <c r="L232">
        <f t="shared" si="6"/>
        <v>2026</v>
      </c>
      <c r="M232">
        <f t="shared" si="7"/>
        <v>1</v>
      </c>
    </row>
    <row r="233" spans="1:13" x14ac:dyDescent="0.25">
      <c r="A233" t="s">
        <v>317</v>
      </c>
      <c r="B233" s="16">
        <v>46040</v>
      </c>
      <c r="C233" t="s">
        <v>88</v>
      </c>
      <c r="D233" t="s">
        <v>62</v>
      </c>
      <c r="E233">
        <v>61</v>
      </c>
      <c r="F233">
        <v>250</v>
      </c>
      <c r="G233">
        <v>15250</v>
      </c>
      <c r="H233" t="s">
        <v>63</v>
      </c>
      <c r="I233" t="s">
        <v>17</v>
      </c>
      <c r="J233" t="s">
        <v>64</v>
      </c>
      <c r="K233" t="s">
        <v>35</v>
      </c>
      <c r="L233">
        <f t="shared" si="6"/>
        <v>2026</v>
      </c>
      <c r="M233">
        <f t="shared" si="7"/>
        <v>1</v>
      </c>
    </row>
    <row r="234" spans="1:13" x14ac:dyDescent="0.25">
      <c r="A234" t="s">
        <v>318</v>
      </c>
      <c r="B234" s="16">
        <v>46041</v>
      </c>
      <c r="C234" t="s">
        <v>91</v>
      </c>
      <c r="D234" t="s">
        <v>67</v>
      </c>
      <c r="E234">
        <v>64</v>
      </c>
      <c r="F234">
        <v>450</v>
      </c>
      <c r="G234">
        <v>28800</v>
      </c>
      <c r="H234" t="s">
        <v>68</v>
      </c>
      <c r="I234" t="s">
        <v>19</v>
      </c>
      <c r="J234" t="s">
        <v>92</v>
      </c>
      <c r="K234" t="s">
        <v>34</v>
      </c>
      <c r="L234">
        <f t="shared" si="6"/>
        <v>2026</v>
      </c>
      <c r="M234">
        <f t="shared" si="7"/>
        <v>1</v>
      </c>
    </row>
    <row r="235" spans="1:13" x14ac:dyDescent="0.25">
      <c r="A235" t="s">
        <v>319</v>
      </c>
      <c r="B235" s="16">
        <v>46042</v>
      </c>
      <c r="C235" t="s">
        <v>94</v>
      </c>
      <c r="D235" t="s">
        <v>72</v>
      </c>
      <c r="E235">
        <v>36</v>
      </c>
      <c r="F235">
        <v>700</v>
      </c>
      <c r="G235">
        <v>25200</v>
      </c>
      <c r="H235" t="s">
        <v>73</v>
      </c>
      <c r="I235" t="s">
        <v>6</v>
      </c>
      <c r="J235" t="s">
        <v>95</v>
      </c>
      <c r="K235" t="s">
        <v>34</v>
      </c>
      <c r="L235">
        <f t="shared" si="6"/>
        <v>2026</v>
      </c>
      <c r="M235">
        <f t="shared" si="7"/>
        <v>1</v>
      </c>
    </row>
    <row r="236" spans="1:13" x14ac:dyDescent="0.25">
      <c r="A236" t="s">
        <v>320</v>
      </c>
      <c r="B236" s="16">
        <v>46043</v>
      </c>
      <c r="C236" t="s">
        <v>51</v>
      </c>
      <c r="D236" t="s">
        <v>52</v>
      </c>
      <c r="E236">
        <v>44</v>
      </c>
      <c r="F236">
        <v>220</v>
      </c>
      <c r="G236">
        <v>9680</v>
      </c>
      <c r="H236" t="s">
        <v>53</v>
      </c>
      <c r="I236" t="s">
        <v>6</v>
      </c>
      <c r="J236" t="s">
        <v>98</v>
      </c>
      <c r="K236" t="s">
        <v>33</v>
      </c>
      <c r="L236">
        <f t="shared" si="6"/>
        <v>2026</v>
      </c>
      <c r="M236">
        <f t="shared" si="7"/>
        <v>1</v>
      </c>
    </row>
    <row r="237" spans="1:13" x14ac:dyDescent="0.25">
      <c r="A237" t="s">
        <v>321</v>
      </c>
      <c r="B237" s="16">
        <v>46044</v>
      </c>
      <c r="C237" t="s">
        <v>56</v>
      </c>
      <c r="D237" t="s">
        <v>57</v>
      </c>
      <c r="E237">
        <v>24</v>
      </c>
      <c r="F237">
        <v>300</v>
      </c>
      <c r="G237">
        <v>7200</v>
      </c>
      <c r="H237" t="s">
        <v>58</v>
      </c>
      <c r="I237" t="s">
        <v>17</v>
      </c>
      <c r="J237" t="s">
        <v>86</v>
      </c>
      <c r="K237" t="s">
        <v>34</v>
      </c>
      <c r="L237">
        <f t="shared" si="6"/>
        <v>2026</v>
      </c>
      <c r="M237">
        <f t="shared" si="7"/>
        <v>1</v>
      </c>
    </row>
    <row r="238" spans="1:13" x14ac:dyDescent="0.25">
      <c r="A238" t="s">
        <v>322</v>
      </c>
      <c r="B238" s="16">
        <v>46045</v>
      </c>
      <c r="C238" t="s">
        <v>61</v>
      </c>
      <c r="D238" t="s">
        <v>62</v>
      </c>
      <c r="E238">
        <v>59</v>
      </c>
      <c r="F238">
        <v>250</v>
      </c>
      <c r="G238">
        <v>14750</v>
      </c>
      <c r="H238" t="s">
        <v>63</v>
      </c>
      <c r="I238" t="s">
        <v>17</v>
      </c>
      <c r="J238" t="s">
        <v>89</v>
      </c>
      <c r="K238" t="s">
        <v>34</v>
      </c>
      <c r="L238">
        <f t="shared" si="6"/>
        <v>2026</v>
      </c>
      <c r="M238">
        <f t="shared" si="7"/>
        <v>1</v>
      </c>
    </row>
    <row r="239" spans="1:13" x14ac:dyDescent="0.25">
      <c r="A239" t="s">
        <v>323</v>
      </c>
      <c r="B239" s="16">
        <v>46046</v>
      </c>
      <c r="C239" t="s">
        <v>66</v>
      </c>
      <c r="D239" t="s">
        <v>67</v>
      </c>
      <c r="E239">
        <v>54</v>
      </c>
      <c r="F239">
        <v>450</v>
      </c>
      <c r="G239">
        <v>24300</v>
      </c>
      <c r="H239" t="s">
        <v>68</v>
      </c>
      <c r="I239" t="s">
        <v>19</v>
      </c>
      <c r="J239" t="s">
        <v>92</v>
      </c>
      <c r="K239" t="s">
        <v>34</v>
      </c>
      <c r="L239">
        <f t="shared" si="6"/>
        <v>2026</v>
      </c>
      <c r="M239">
        <f t="shared" si="7"/>
        <v>1</v>
      </c>
    </row>
    <row r="240" spans="1:13" x14ac:dyDescent="0.25">
      <c r="A240" t="s">
        <v>324</v>
      </c>
      <c r="B240" s="16">
        <v>46047</v>
      </c>
      <c r="C240" t="s">
        <v>97</v>
      </c>
      <c r="D240" t="s">
        <v>72</v>
      </c>
      <c r="E240">
        <v>40</v>
      </c>
      <c r="F240">
        <v>700</v>
      </c>
      <c r="G240">
        <v>28000</v>
      </c>
      <c r="H240" t="s">
        <v>73</v>
      </c>
      <c r="I240" t="s">
        <v>6</v>
      </c>
      <c r="J240" t="s">
        <v>95</v>
      </c>
      <c r="K240" t="s">
        <v>34</v>
      </c>
      <c r="L240">
        <f t="shared" si="6"/>
        <v>2026</v>
      </c>
      <c r="M240">
        <f t="shared" si="7"/>
        <v>1</v>
      </c>
    </row>
    <row r="241" spans="1:13" x14ac:dyDescent="0.25">
      <c r="A241" t="s">
        <v>325</v>
      </c>
      <c r="B241" s="16">
        <v>46048</v>
      </c>
      <c r="C241" t="s">
        <v>51</v>
      </c>
      <c r="D241" t="s">
        <v>52</v>
      </c>
      <c r="E241">
        <v>43</v>
      </c>
      <c r="F241">
        <v>220</v>
      </c>
      <c r="G241">
        <v>9460</v>
      </c>
      <c r="H241" t="s">
        <v>53</v>
      </c>
      <c r="I241" t="s">
        <v>6</v>
      </c>
      <c r="J241" t="s">
        <v>54</v>
      </c>
      <c r="K241" t="s">
        <v>33</v>
      </c>
      <c r="L241">
        <f t="shared" si="6"/>
        <v>2026</v>
      </c>
      <c r="M241">
        <f t="shared" si="7"/>
        <v>1</v>
      </c>
    </row>
    <row r="242" spans="1:13" x14ac:dyDescent="0.25">
      <c r="A242" t="s">
        <v>326</v>
      </c>
      <c r="B242" s="16">
        <v>46049</v>
      </c>
      <c r="C242" t="s">
        <v>56</v>
      </c>
      <c r="D242" t="s">
        <v>57</v>
      </c>
      <c r="E242">
        <v>66</v>
      </c>
      <c r="F242">
        <v>300</v>
      </c>
      <c r="G242">
        <v>19800</v>
      </c>
      <c r="H242" t="s">
        <v>58</v>
      </c>
      <c r="I242" t="s">
        <v>17</v>
      </c>
      <c r="J242" t="s">
        <v>59</v>
      </c>
      <c r="K242" t="s">
        <v>36</v>
      </c>
      <c r="L242">
        <f t="shared" si="6"/>
        <v>2026</v>
      </c>
      <c r="M242">
        <f t="shared" si="7"/>
        <v>1</v>
      </c>
    </row>
    <row r="243" spans="1:13" x14ac:dyDescent="0.25">
      <c r="A243" t="s">
        <v>327</v>
      </c>
      <c r="B243" s="16">
        <v>46050</v>
      </c>
      <c r="C243" t="s">
        <v>61</v>
      </c>
      <c r="D243" t="s">
        <v>62</v>
      </c>
      <c r="E243">
        <v>52</v>
      </c>
      <c r="F243">
        <v>250</v>
      </c>
      <c r="G243">
        <v>13000</v>
      </c>
      <c r="H243" t="s">
        <v>63</v>
      </c>
      <c r="I243" t="s">
        <v>17</v>
      </c>
      <c r="J243" t="s">
        <v>64</v>
      </c>
      <c r="K243" t="s">
        <v>35</v>
      </c>
      <c r="L243">
        <f t="shared" si="6"/>
        <v>2026</v>
      </c>
      <c r="M243">
        <f t="shared" si="7"/>
        <v>1</v>
      </c>
    </row>
    <row r="244" spans="1:13" x14ac:dyDescent="0.25">
      <c r="A244" t="s">
        <v>328</v>
      </c>
      <c r="B244" s="16">
        <v>46051</v>
      </c>
      <c r="C244" t="s">
        <v>91</v>
      </c>
      <c r="D244" t="s">
        <v>67</v>
      </c>
      <c r="E244">
        <v>69</v>
      </c>
      <c r="F244">
        <v>450</v>
      </c>
      <c r="G244">
        <v>31050</v>
      </c>
      <c r="H244" t="s">
        <v>68</v>
      </c>
      <c r="I244" t="s">
        <v>19</v>
      </c>
      <c r="J244" t="s">
        <v>69</v>
      </c>
      <c r="K244" t="s">
        <v>36</v>
      </c>
      <c r="L244">
        <f t="shared" si="6"/>
        <v>2026</v>
      </c>
      <c r="M244">
        <f t="shared" si="7"/>
        <v>1</v>
      </c>
    </row>
    <row r="245" spans="1:13" x14ac:dyDescent="0.25">
      <c r="A245" t="s">
        <v>329</v>
      </c>
      <c r="B245" s="16">
        <v>46052</v>
      </c>
      <c r="C245" t="s">
        <v>94</v>
      </c>
      <c r="D245" t="s">
        <v>72</v>
      </c>
      <c r="E245">
        <v>75</v>
      </c>
      <c r="F245">
        <v>700</v>
      </c>
      <c r="G245">
        <v>52500</v>
      </c>
      <c r="H245" t="s">
        <v>73</v>
      </c>
      <c r="I245" t="s">
        <v>6</v>
      </c>
      <c r="J245" t="s">
        <v>98</v>
      </c>
      <c r="K245" t="s">
        <v>33</v>
      </c>
      <c r="L245">
        <f t="shared" si="6"/>
        <v>2026</v>
      </c>
      <c r="M245">
        <f t="shared" si="7"/>
        <v>1</v>
      </c>
    </row>
    <row r="246" spans="1:13" x14ac:dyDescent="0.25">
      <c r="A246" t="s">
        <v>330</v>
      </c>
      <c r="B246" s="16">
        <v>46053</v>
      </c>
      <c r="C246" t="s">
        <v>97</v>
      </c>
      <c r="D246" t="s">
        <v>52</v>
      </c>
      <c r="E246">
        <v>66</v>
      </c>
      <c r="F246">
        <v>220</v>
      </c>
      <c r="G246">
        <v>14520</v>
      </c>
      <c r="H246" t="s">
        <v>53</v>
      </c>
      <c r="I246" t="s">
        <v>6</v>
      </c>
      <c r="J246" t="s">
        <v>54</v>
      </c>
      <c r="K246" t="s">
        <v>33</v>
      </c>
      <c r="L246">
        <f t="shared" si="6"/>
        <v>2026</v>
      </c>
      <c r="M246">
        <f t="shared" si="7"/>
        <v>1</v>
      </c>
    </row>
    <row r="247" spans="1:13" x14ac:dyDescent="0.25">
      <c r="A247" t="s">
        <v>331</v>
      </c>
      <c r="B247" s="16">
        <v>45658</v>
      </c>
      <c r="C247" t="s">
        <v>85</v>
      </c>
      <c r="D247" t="s">
        <v>57</v>
      </c>
      <c r="E247">
        <v>41</v>
      </c>
      <c r="F247">
        <v>300</v>
      </c>
      <c r="G247">
        <v>12300</v>
      </c>
      <c r="H247" t="s">
        <v>58</v>
      </c>
      <c r="I247" t="s">
        <v>17</v>
      </c>
      <c r="J247" t="s">
        <v>59</v>
      </c>
      <c r="K247" t="s">
        <v>36</v>
      </c>
      <c r="L247">
        <f t="shared" si="6"/>
        <v>2025</v>
      </c>
      <c r="M247">
        <f t="shared" si="7"/>
        <v>1</v>
      </c>
    </row>
    <row r="248" spans="1:13" x14ac:dyDescent="0.25">
      <c r="A248" t="s">
        <v>332</v>
      </c>
      <c r="B248" s="16">
        <v>45659</v>
      </c>
      <c r="C248" t="s">
        <v>88</v>
      </c>
      <c r="D248" t="s">
        <v>62</v>
      </c>
      <c r="E248">
        <v>35</v>
      </c>
      <c r="F248">
        <v>250</v>
      </c>
      <c r="G248">
        <v>8750</v>
      </c>
      <c r="H248" t="s">
        <v>63</v>
      </c>
      <c r="I248" t="s">
        <v>17</v>
      </c>
      <c r="J248" t="s">
        <v>64</v>
      </c>
      <c r="K248" t="s">
        <v>35</v>
      </c>
      <c r="L248">
        <f t="shared" si="6"/>
        <v>2025</v>
      </c>
      <c r="M248">
        <f t="shared" si="7"/>
        <v>1</v>
      </c>
    </row>
    <row r="249" spans="1:13" x14ac:dyDescent="0.25">
      <c r="A249" t="s">
        <v>333</v>
      </c>
      <c r="B249" s="16">
        <v>45660</v>
      </c>
      <c r="C249" t="s">
        <v>91</v>
      </c>
      <c r="D249" t="s">
        <v>67</v>
      </c>
      <c r="E249">
        <v>47</v>
      </c>
      <c r="F249">
        <v>450</v>
      </c>
      <c r="G249">
        <v>21150</v>
      </c>
      <c r="H249" t="s">
        <v>68</v>
      </c>
      <c r="I249" t="s">
        <v>19</v>
      </c>
      <c r="J249" t="s">
        <v>69</v>
      </c>
      <c r="K249" t="s">
        <v>36</v>
      </c>
      <c r="L249">
        <f t="shared" si="6"/>
        <v>2025</v>
      </c>
      <c r="M249">
        <f t="shared" si="7"/>
        <v>1</v>
      </c>
    </row>
    <row r="250" spans="1:13" x14ac:dyDescent="0.25">
      <c r="A250" t="s">
        <v>334</v>
      </c>
      <c r="B250" s="16">
        <v>45661</v>
      </c>
      <c r="C250" t="s">
        <v>94</v>
      </c>
      <c r="D250" t="s">
        <v>72</v>
      </c>
      <c r="E250">
        <v>33</v>
      </c>
      <c r="F250">
        <v>700</v>
      </c>
      <c r="G250">
        <v>23100</v>
      </c>
      <c r="H250" t="s">
        <v>73</v>
      </c>
      <c r="I250" t="s">
        <v>6</v>
      </c>
      <c r="J250" t="s">
        <v>74</v>
      </c>
      <c r="K250" t="s">
        <v>34</v>
      </c>
      <c r="L250">
        <f t="shared" si="6"/>
        <v>2025</v>
      </c>
      <c r="M250">
        <f t="shared" si="7"/>
        <v>1</v>
      </c>
    </row>
    <row r="251" spans="1:13" x14ac:dyDescent="0.25">
      <c r="A251" t="s">
        <v>335</v>
      </c>
      <c r="B251" s="16">
        <v>45662</v>
      </c>
      <c r="C251" t="s">
        <v>51</v>
      </c>
      <c r="D251" t="s">
        <v>52</v>
      </c>
      <c r="E251">
        <v>62</v>
      </c>
      <c r="F251">
        <v>220</v>
      </c>
      <c r="G251">
        <v>13640</v>
      </c>
      <c r="H251" t="s">
        <v>53</v>
      </c>
      <c r="I251" t="s">
        <v>6</v>
      </c>
      <c r="J251" t="s">
        <v>77</v>
      </c>
      <c r="K251" t="s">
        <v>36</v>
      </c>
      <c r="L251">
        <f t="shared" si="6"/>
        <v>2025</v>
      </c>
      <c r="M251">
        <f t="shared" si="7"/>
        <v>1</v>
      </c>
    </row>
    <row r="252" spans="1:13" x14ac:dyDescent="0.25">
      <c r="A252" t="s">
        <v>336</v>
      </c>
      <c r="B252" s="16">
        <v>45662</v>
      </c>
      <c r="C252" t="s">
        <v>56</v>
      </c>
      <c r="D252" t="s">
        <v>57</v>
      </c>
      <c r="E252">
        <v>39</v>
      </c>
      <c r="F252">
        <v>300</v>
      </c>
      <c r="G252">
        <v>11700</v>
      </c>
      <c r="H252" t="s">
        <v>58</v>
      </c>
      <c r="I252" t="s">
        <v>17</v>
      </c>
      <c r="J252" t="s">
        <v>80</v>
      </c>
      <c r="K252" t="s">
        <v>35</v>
      </c>
      <c r="L252">
        <f t="shared" si="6"/>
        <v>2025</v>
      </c>
      <c r="M252">
        <f t="shared" si="7"/>
        <v>1</v>
      </c>
    </row>
    <row r="253" spans="1:13" x14ac:dyDescent="0.25">
      <c r="A253" t="s">
        <v>337</v>
      </c>
      <c r="B253" s="16">
        <v>45662</v>
      </c>
      <c r="C253" t="s">
        <v>61</v>
      </c>
      <c r="D253" t="s">
        <v>62</v>
      </c>
      <c r="E253">
        <v>48</v>
      </c>
      <c r="F253">
        <v>250</v>
      </c>
      <c r="G253">
        <v>12000</v>
      </c>
      <c r="H253" t="s">
        <v>63</v>
      </c>
      <c r="I253" t="s">
        <v>17</v>
      </c>
      <c r="J253" t="s">
        <v>83</v>
      </c>
      <c r="K253" t="s">
        <v>33</v>
      </c>
      <c r="L253">
        <f t="shared" si="6"/>
        <v>2025</v>
      </c>
      <c r="M253">
        <f t="shared" si="7"/>
        <v>1</v>
      </c>
    </row>
    <row r="254" spans="1:13" x14ac:dyDescent="0.25">
      <c r="A254" t="s">
        <v>338</v>
      </c>
      <c r="B254" s="16">
        <v>45662</v>
      </c>
      <c r="C254" t="s">
        <v>66</v>
      </c>
      <c r="D254" t="s">
        <v>67</v>
      </c>
      <c r="E254">
        <v>51</v>
      </c>
      <c r="F254">
        <v>450</v>
      </c>
      <c r="G254">
        <v>22950</v>
      </c>
      <c r="H254" t="s">
        <v>68</v>
      </c>
      <c r="I254" t="s">
        <v>19</v>
      </c>
      <c r="J254" t="s">
        <v>86</v>
      </c>
      <c r="K254" t="s">
        <v>34</v>
      </c>
      <c r="L254">
        <f t="shared" si="6"/>
        <v>2025</v>
      </c>
      <c r="M254">
        <f t="shared" si="7"/>
        <v>1</v>
      </c>
    </row>
    <row r="255" spans="1:13" x14ac:dyDescent="0.25">
      <c r="A255" t="s">
        <v>339</v>
      </c>
      <c r="B255" s="16">
        <v>45666</v>
      </c>
      <c r="C255" t="s">
        <v>97</v>
      </c>
      <c r="D255" t="s">
        <v>72</v>
      </c>
      <c r="E255">
        <v>20</v>
      </c>
      <c r="F255">
        <v>700</v>
      </c>
      <c r="G255">
        <v>14000</v>
      </c>
      <c r="H255" t="s">
        <v>73</v>
      </c>
      <c r="I255" t="s">
        <v>6</v>
      </c>
      <c r="J255" t="s">
        <v>89</v>
      </c>
      <c r="K255" t="s">
        <v>34</v>
      </c>
      <c r="L255">
        <f t="shared" si="6"/>
        <v>2025</v>
      </c>
      <c r="M255">
        <f t="shared" si="7"/>
        <v>1</v>
      </c>
    </row>
    <row r="256" spans="1:13" x14ac:dyDescent="0.25">
      <c r="A256" t="s">
        <v>340</v>
      </c>
      <c r="B256" s="16">
        <v>45667</v>
      </c>
      <c r="C256" t="s">
        <v>85</v>
      </c>
      <c r="D256" t="s">
        <v>52</v>
      </c>
      <c r="E256">
        <v>68</v>
      </c>
      <c r="F256">
        <v>220</v>
      </c>
      <c r="G256">
        <v>14960</v>
      </c>
      <c r="H256" t="s">
        <v>53</v>
      </c>
      <c r="I256" t="s">
        <v>6</v>
      </c>
      <c r="J256" t="s">
        <v>92</v>
      </c>
      <c r="K256" t="s">
        <v>34</v>
      </c>
      <c r="L256">
        <f t="shared" si="6"/>
        <v>2025</v>
      </c>
      <c r="M256">
        <f t="shared" si="7"/>
        <v>1</v>
      </c>
    </row>
    <row r="257" spans="1:13" x14ac:dyDescent="0.25">
      <c r="A257" t="s">
        <v>341</v>
      </c>
      <c r="B257" s="16">
        <v>45668</v>
      </c>
      <c r="C257" t="s">
        <v>88</v>
      </c>
      <c r="D257" t="s">
        <v>57</v>
      </c>
      <c r="E257">
        <v>40</v>
      </c>
      <c r="F257">
        <v>300</v>
      </c>
      <c r="G257">
        <v>12000</v>
      </c>
      <c r="H257" t="s">
        <v>58</v>
      </c>
      <c r="I257" t="s">
        <v>17</v>
      </c>
      <c r="J257" t="s">
        <v>95</v>
      </c>
      <c r="K257" t="s">
        <v>34</v>
      </c>
      <c r="L257">
        <f t="shared" si="6"/>
        <v>2025</v>
      </c>
      <c r="M257">
        <f t="shared" si="7"/>
        <v>1</v>
      </c>
    </row>
    <row r="258" spans="1:13" x14ac:dyDescent="0.25">
      <c r="A258" t="s">
        <v>342</v>
      </c>
      <c r="B258" s="16">
        <v>45669</v>
      </c>
      <c r="C258" t="s">
        <v>91</v>
      </c>
      <c r="D258" t="s">
        <v>62</v>
      </c>
      <c r="E258">
        <v>43</v>
      </c>
      <c r="F258">
        <v>250</v>
      </c>
      <c r="G258">
        <v>10750</v>
      </c>
      <c r="H258" t="s">
        <v>63</v>
      </c>
      <c r="I258" t="s">
        <v>17</v>
      </c>
      <c r="J258" t="s">
        <v>98</v>
      </c>
      <c r="K258" t="s">
        <v>33</v>
      </c>
      <c r="L258">
        <f t="shared" ref="L258:L321" si="8">YEAR(B258)</f>
        <v>2025</v>
      </c>
      <c r="M258">
        <f t="shared" ref="M258:M321" si="9">MONTH(B258)</f>
        <v>1</v>
      </c>
    </row>
    <row r="259" spans="1:13" x14ac:dyDescent="0.25">
      <c r="A259" t="s">
        <v>343</v>
      </c>
      <c r="B259" s="16">
        <v>45670</v>
      </c>
      <c r="C259" t="s">
        <v>94</v>
      </c>
      <c r="D259" t="s">
        <v>67</v>
      </c>
      <c r="E259">
        <v>42</v>
      </c>
      <c r="F259">
        <v>450</v>
      </c>
      <c r="G259">
        <v>18900</v>
      </c>
      <c r="H259" t="s">
        <v>68</v>
      </c>
      <c r="I259" t="s">
        <v>19</v>
      </c>
      <c r="J259" t="s">
        <v>54</v>
      </c>
      <c r="K259" t="s">
        <v>33</v>
      </c>
      <c r="L259">
        <f t="shared" si="8"/>
        <v>2025</v>
      </c>
      <c r="M259">
        <f t="shared" si="9"/>
        <v>1</v>
      </c>
    </row>
    <row r="260" spans="1:13" x14ac:dyDescent="0.25">
      <c r="A260" t="s">
        <v>344</v>
      </c>
      <c r="B260" s="16">
        <v>45671</v>
      </c>
      <c r="C260" t="s">
        <v>51</v>
      </c>
      <c r="D260" t="s">
        <v>72</v>
      </c>
      <c r="E260">
        <v>67</v>
      </c>
      <c r="F260">
        <v>700</v>
      </c>
      <c r="G260">
        <v>46900</v>
      </c>
      <c r="H260" t="s">
        <v>73</v>
      </c>
      <c r="I260" t="s">
        <v>6</v>
      </c>
      <c r="J260" t="s">
        <v>59</v>
      </c>
      <c r="K260" t="s">
        <v>36</v>
      </c>
      <c r="L260">
        <f t="shared" si="8"/>
        <v>2025</v>
      </c>
      <c r="M260">
        <f t="shared" si="9"/>
        <v>1</v>
      </c>
    </row>
    <row r="261" spans="1:13" x14ac:dyDescent="0.25">
      <c r="A261" t="s">
        <v>345</v>
      </c>
      <c r="B261" s="16">
        <v>45672</v>
      </c>
      <c r="C261" t="s">
        <v>56</v>
      </c>
      <c r="D261" t="s">
        <v>52</v>
      </c>
      <c r="E261">
        <v>65</v>
      </c>
      <c r="F261">
        <v>220</v>
      </c>
      <c r="G261">
        <v>14300</v>
      </c>
      <c r="H261" t="s">
        <v>53</v>
      </c>
      <c r="I261" t="s">
        <v>6</v>
      </c>
      <c r="J261" t="s">
        <v>64</v>
      </c>
      <c r="K261" t="s">
        <v>35</v>
      </c>
      <c r="L261">
        <f t="shared" si="8"/>
        <v>2025</v>
      </c>
      <c r="M261">
        <f t="shared" si="9"/>
        <v>1</v>
      </c>
    </row>
    <row r="262" spans="1:13" x14ac:dyDescent="0.25">
      <c r="A262" t="s">
        <v>346</v>
      </c>
      <c r="B262" s="16">
        <v>45673</v>
      </c>
      <c r="C262" t="s">
        <v>61</v>
      </c>
      <c r="D262" t="s">
        <v>57</v>
      </c>
      <c r="E262">
        <v>27</v>
      </c>
      <c r="F262">
        <v>300</v>
      </c>
      <c r="G262">
        <v>8100</v>
      </c>
      <c r="H262" t="s">
        <v>58</v>
      </c>
      <c r="I262" t="s">
        <v>17</v>
      </c>
      <c r="J262" t="s">
        <v>69</v>
      </c>
      <c r="K262" t="s">
        <v>36</v>
      </c>
      <c r="L262">
        <f t="shared" si="8"/>
        <v>2025</v>
      </c>
      <c r="M262">
        <f t="shared" si="9"/>
        <v>1</v>
      </c>
    </row>
    <row r="263" spans="1:13" x14ac:dyDescent="0.25">
      <c r="A263" t="s">
        <v>347</v>
      </c>
      <c r="B263" s="16">
        <v>45674</v>
      </c>
      <c r="C263" t="s">
        <v>66</v>
      </c>
      <c r="D263" t="s">
        <v>62</v>
      </c>
      <c r="E263">
        <v>34</v>
      </c>
      <c r="F263">
        <v>250</v>
      </c>
      <c r="G263">
        <v>8500</v>
      </c>
      <c r="H263" t="s">
        <v>63</v>
      </c>
      <c r="I263" t="s">
        <v>17</v>
      </c>
      <c r="J263" t="s">
        <v>74</v>
      </c>
      <c r="K263" t="s">
        <v>34</v>
      </c>
      <c r="L263">
        <f t="shared" si="8"/>
        <v>2025</v>
      </c>
      <c r="M263">
        <f t="shared" si="9"/>
        <v>1</v>
      </c>
    </row>
    <row r="264" spans="1:13" x14ac:dyDescent="0.25">
      <c r="A264" t="s">
        <v>348</v>
      </c>
      <c r="B264" s="16">
        <v>45675</v>
      </c>
      <c r="C264" t="s">
        <v>97</v>
      </c>
      <c r="D264" t="s">
        <v>67</v>
      </c>
      <c r="E264">
        <v>62</v>
      </c>
      <c r="F264">
        <v>450</v>
      </c>
      <c r="G264">
        <v>27900</v>
      </c>
      <c r="H264" t="s">
        <v>68</v>
      </c>
      <c r="I264" t="s">
        <v>19</v>
      </c>
      <c r="J264" t="s">
        <v>95</v>
      </c>
      <c r="K264" t="s">
        <v>34</v>
      </c>
      <c r="L264">
        <f t="shared" si="8"/>
        <v>2025</v>
      </c>
      <c r="M264">
        <f t="shared" si="9"/>
        <v>1</v>
      </c>
    </row>
    <row r="265" spans="1:13" x14ac:dyDescent="0.25">
      <c r="A265" t="s">
        <v>349</v>
      </c>
      <c r="B265" s="16">
        <v>45676</v>
      </c>
      <c r="C265" t="s">
        <v>51</v>
      </c>
      <c r="D265" t="s">
        <v>72</v>
      </c>
      <c r="E265">
        <v>41</v>
      </c>
      <c r="F265">
        <v>700</v>
      </c>
      <c r="G265">
        <v>28700</v>
      </c>
      <c r="H265" t="s">
        <v>73</v>
      </c>
      <c r="I265" t="s">
        <v>6</v>
      </c>
      <c r="J265" t="s">
        <v>98</v>
      </c>
      <c r="K265" t="s">
        <v>33</v>
      </c>
      <c r="L265">
        <f t="shared" si="8"/>
        <v>2025</v>
      </c>
      <c r="M265">
        <f t="shared" si="9"/>
        <v>1</v>
      </c>
    </row>
    <row r="266" spans="1:13" x14ac:dyDescent="0.25">
      <c r="A266" t="s">
        <v>350</v>
      </c>
      <c r="B266" s="16">
        <v>45677</v>
      </c>
      <c r="C266" t="s">
        <v>56</v>
      </c>
      <c r="D266" t="s">
        <v>52</v>
      </c>
      <c r="E266">
        <v>21</v>
      </c>
      <c r="F266">
        <v>220</v>
      </c>
      <c r="G266">
        <v>4620</v>
      </c>
      <c r="H266" t="s">
        <v>53</v>
      </c>
      <c r="I266" t="s">
        <v>6</v>
      </c>
      <c r="J266" t="s">
        <v>54</v>
      </c>
      <c r="K266" t="s">
        <v>33</v>
      </c>
      <c r="L266">
        <f t="shared" si="8"/>
        <v>2025</v>
      </c>
      <c r="M266">
        <f t="shared" si="9"/>
        <v>1</v>
      </c>
    </row>
    <row r="267" spans="1:13" x14ac:dyDescent="0.25">
      <c r="A267" t="s">
        <v>351</v>
      </c>
      <c r="B267" s="16">
        <v>45678</v>
      </c>
      <c r="C267" t="s">
        <v>61</v>
      </c>
      <c r="D267" t="s">
        <v>57</v>
      </c>
      <c r="E267">
        <v>25</v>
      </c>
      <c r="F267">
        <v>300</v>
      </c>
      <c r="G267">
        <v>7500</v>
      </c>
      <c r="H267" t="s">
        <v>58</v>
      </c>
      <c r="I267" t="s">
        <v>17</v>
      </c>
      <c r="J267" t="s">
        <v>59</v>
      </c>
      <c r="K267" t="s">
        <v>36</v>
      </c>
      <c r="L267">
        <f t="shared" si="8"/>
        <v>2025</v>
      </c>
      <c r="M267">
        <f t="shared" si="9"/>
        <v>1</v>
      </c>
    </row>
    <row r="268" spans="1:13" x14ac:dyDescent="0.25">
      <c r="A268" t="s">
        <v>352</v>
      </c>
      <c r="B268" s="16">
        <v>45679</v>
      </c>
      <c r="C268" t="s">
        <v>91</v>
      </c>
      <c r="D268" t="s">
        <v>62</v>
      </c>
      <c r="E268">
        <v>55</v>
      </c>
      <c r="F268">
        <v>250</v>
      </c>
      <c r="G268">
        <v>13750</v>
      </c>
      <c r="H268" t="s">
        <v>63</v>
      </c>
      <c r="I268" t="s">
        <v>17</v>
      </c>
      <c r="J268" t="s">
        <v>64</v>
      </c>
      <c r="K268" t="s">
        <v>35</v>
      </c>
      <c r="L268">
        <f t="shared" si="8"/>
        <v>2025</v>
      </c>
      <c r="M268">
        <f t="shared" si="9"/>
        <v>1</v>
      </c>
    </row>
    <row r="269" spans="1:13" x14ac:dyDescent="0.25">
      <c r="A269" t="s">
        <v>353</v>
      </c>
      <c r="B269" s="16">
        <v>45680</v>
      </c>
      <c r="C269" t="s">
        <v>94</v>
      </c>
      <c r="D269" t="s">
        <v>67</v>
      </c>
      <c r="E269">
        <v>51</v>
      </c>
      <c r="F269">
        <v>450</v>
      </c>
      <c r="G269">
        <v>22950</v>
      </c>
      <c r="H269" t="s">
        <v>68</v>
      </c>
      <c r="I269" t="s">
        <v>19</v>
      </c>
      <c r="J269" t="s">
        <v>69</v>
      </c>
      <c r="K269" t="s">
        <v>36</v>
      </c>
      <c r="L269">
        <f t="shared" si="8"/>
        <v>2025</v>
      </c>
      <c r="M269">
        <f t="shared" si="9"/>
        <v>1</v>
      </c>
    </row>
    <row r="270" spans="1:13" x14ac:dyDescent="0.25">
      <c r="A270" t="s">
        <v>354</v>
      </c>
      <c r="B270" s="16">
        <v>45681</v>
      </c>
      <c r="C270" t="s">
        <v>97</v>
      </c>
      <c r="D270" t="s">
        <v>72</v>
      </c>
      <c r="E270">
        <v>29</v>
      </c>
      <c r="F270">
        <v>700</v>
      </c>
      <c r="G270">
        <v>20300</v>
      </c>
      <c r="H270" t="s">
        <v>73</v>
      </c>
      <c r="I270" t="s">
        <v>6</v>
      </c>
      <c r="J270" t="s">
        <v>74</v>
      </c>
      <c r="K270" t="s">
        <v>34</v>
      </c>
      <c r="L270">
        <f t="shared" si="8"/>
        <v>2025</v>
      </c>
      <c r="M270">
        <f t="shared" si="9"/>
        <v>1</v>
      </c>
    </row>
    <row r="271" spans="1:13" x14ac:dyDescent="0.25">
      <c r="A271" t="s">
        <v>355</v>
      </c>
      <c r="B271" s="16">
        <v>45682</v>
      </c>
      <c r="C271" t="s">
        <v>85</v>
      </c>
      <c r="D271" t="s">
        <v>52</v>
      </c>
      <c r="E271">
        <v>34</v>
      </c>
      <c r="F271">
        <v>220</v>
      </c>
      <c r="G271">
        <v>7480</v>
      </c>
      <c r="H271" t="s">
        <v>53</v>
      </c>
      <c r="I271" t="s">
        <v>6</v>
      </c>
      <c r="J271" t="s">
        <v>77</v>
      </c>
      <c r="K271" t="s">
        <v>36</v>
      </c>
      <c r="L271">
        <f t="shared" si="8"/>
        <v>2025</v>
      </c>
      <c r="M271">
        <f t="shared" si="9"/>
        <v>1</v>
      </c>
    </row>
    <row r="272" spans="1:13" x14ac:dyDescent="0.25">
      <c r="A272" t="s">
        <v>356</v>
      </c>
      <c r="B272" s="16">
        <v>45683</v>
      </c>
      <c r="C272" t="s">
        <v>88</v>
      </c>
      <c r="D272" t="s">
        <v>57</v>
      </c>
      <c r="E272">
        <v>48</v>
      </c>
      <c r="F272">
        <v>300</v>
      </c>
      <c r="G272">
        <v>14400</v>
      </c>
      <c r="H272" t="s">
        <v>58</v>
      </c>
      <c r="I272" t="s">
        <v>17</v>
      </c>
      <c r="J272" t="s">
        <v>80</v>
      </c>
      <c r="K272" t="s">
        <v>35</v>
      </c>
      <c r="L272">
        <f t="shared" si="8"/>
        <v>2025</v>
      </c>
      <c r="M272">
        <f t="shared" si="9"/>
        <v>1</v>
      </c>
    </row>
    <row r="273" spans="1:13" x14ac:dyDescent="0.25">
      <c r="A273" t="s">
        <v>357</v>
      </c>
      <c r="B273" s="16">
        <v>45684</v>
      </c>
      <c r="C273" t="s">
        <v>91</v>
      </c>
      <c r="D273" t="s">
        <v>62</v>
      </c>
      <c r="E273">
        <v>42</v>
      </c>
      <c r="F273">
        <v>250</v>
      </c>
      <c r="G273">
        <v>10500</v>
      </c>
      <c r="H273" t="s">
        <v>63</v>
      </c>
      <c r="I273" t="s">
        <v>17</v>
      </c>
      <c r="J273" t="s">
        <v>83</v>
      </c>
      <c r="K273" t="s">
        <v>33</v>
      </c>
      <c r="L273">
        <f t="shared" si="8"/>
        <v>2025</v>
      </c>
      <c r="M273">
        <f t="shared" si="9"/>
        <v>1</v>
      </c>
    </row>
    <row r="274" spans="1:13" x14ac:dyDescent="0.25">
      <c r="A274" t="s">
        <v>358</v>
      </c>
      <c r="B274" s="16">
        <v>45685</v>
      </c>
      <c r="C274" t="s">
        <v>94</v>
      </c>
      <c r="D274" t="s">
        <v>67</v>
      </c>
      <c r="E274">
        <v>47</v>
      </c>
      <c r="F274">
        <v>450</v>
      </c>
      <c r="G274">
        <v>21150</v>
      </c>
      <c r="H274" t="s">
        <v>68</v>
      </c>
      <c r="I274" t="s">
        <v>19</v>
      </c>
      <c r="J274" t="s">
        <v>86</v>
      </c>
      <c r="K274" t="s">
        <v>34</v>
      </c>
      <c r="L274">
        <f t="shared" si="8"/>
        <v>2025</v>
      </c>
      <c r="M274">
        <f t="shared" si="9"/>
        <v>1</v>
      </c>
    </row>
    <row r="275" spans="1:13" x14ac:dyDescent="0.25">
      <c r="A275" t="s">
        <v>359</v>
      </c>
      <c r="B275" s="16">
        <v>45686</v>
      </c>
      <c r="C275" t="s">
        <v>51</v>
      </c>
      <c r="D275" t="s">
        <v>72</v>
      </c>
      <c r="E275">
        <v>20</v>
      </c>
      <c r="F275">
        <v>700</v>
      </c>
      <c r="G275">
        <v>14000</v>
      </c>
      <c r="H275" t="s">
        <v>73</v>
      </c>
      <c r="I275" t="s">
        <v>6</v>
      </c>
      <c r="J275" t="s">
        <v>89</v>
      </c>
      <c r="K275" t="s">
        <v>34</v>
      </c>
      <c r="L275">
        <f t="shared" si="8"/>
        <v>2025</v>
      </c>
      <c r="M275">
        <f t="shared" si="9"/>
        <v>1</v>
      </c>
    </row>
    <row r="276" spans="1:13" x14ac:dyDescent="0.25">
      <c r="A276" t="s">
        <v>360</v>
      </c>
      <c r="B276" s="16">
        <v>45687</v>
      </c>
      <c r="C276" t="s">
        <v>56</v>
      </c>
      <c r="D276" t="s">
        <v>52</v>
      </c>
      <c r="E276">
        <v>28</v>
      </c>
      <c r="F276">
        <v>220</v>
      </c>
      <c r="G276">
        <v>6160</v>
      </c>
      <c r="H276" t="s">
        <v>53</v>
      </c>
      <c r="I276" t="s">
        <v>6</v>
      </c>
      <c r="J276" t="s">
        <v>92</v>
      </c>
      <c r="K276" t="s">
        <v>34</v>
      </c>
      <c r="L276">
        <f t="shared" si="8"/>
        <v>2025</v>
      </c>
      <c r="M276">
        <f t="shared" si="9"/>
        <v>1</v>
      </c>
    </row>
    <row r="277" spans="1:13" x14ac:dyDescent="0.25">
      <c r="A277" t="s">
        <v>361</v>
      </c>
      <c r="B277" s="16">
        <v>45688</v>
      </c>
      <c r="C277" t="s">
        <v>61</v>
      </c>
      <c r="D277" t="s">
        <v>57</v>
      </c>
      <c r="E277">
        <v>63</v>
      </c>
      <c r="F277">
        <v>300</v>
      </c>
      <c r="G277">
        <v>18900</v>
      </c>
      <c r="H277" t="s">
        <v>58</v>
      </c>
      <c r="I277" t="s">
        <v>17</v>
      </c>
      <c r="J277" t="s">
        <v>95</v>
      </c>
      <c r="K277" t="s">
        <v>34</v>
      </c>
      <c r="L277">
        <f t="shared" si="8"/>
        <v>2025</v>
      </c>
      <c r="M277">
        <f t="shared" si="9"/>
        <v>1</v>
      </c>
    </row>
    <row r="278" spans="1:13" x14ac:dyDescent="0.25">
      <c r="A278" t="s">
        <v>362</v>
      </c>
      <c r="B278" s="16">
        <v>45689</v>
      </c>
      <c r="C278" t="s">
        <v>66</v>
      </c>
      <c r="D278" t="s">
        <v>62</v>
      </c>
      <c r="E278">
        <v>35</v>
      </c>
      <c r="F278">
        <v>250</v>
      </c>
      <c r="G278">
        <v>8750</v>
      </c>
      <c r="H278" t="s">
        <v>63</v>
      </c>
      <c r="I278" t="s">
        <v>17</v>
      </c>
      <c r="J278" t="s">
        <v>89</v>
      </c>
      <c r="K278" t="s">
        <v>34</v>
      </c>
      <c r="L278">
        <f t="shared" si="8"/>
        <v>2025</v>
      </c>
      <c r="M278">
        <f t="shared" si="9"/>
        <v>2</v>
      </c>
    </row>
    <row r="279" spans="1:13" x14ac:dyDescent="0.25">
      <c r="A279" t="s">
        <v>363</v>
      </c>
      <c r="B279" s="16">
        <v>45690</v>
      </c>
      <c r="C279" t="s">
        <v>97</v>
      </c>
      <c r="D279" t="s">
        <v>67</v>
      </c>
      <c r="E279">
        <v>71</v>
      </c>
      <c r="F279">
        <v>450</v>
      </c>
      <c r="G279">
        <v>31950</v>
      </c>
      <c r="H279" t="s">
        <v>68</v>
      </c>
      <c r="I279" t="s">
        <v>19</v>
      </c>
      <c r="J279" t="s">
        <v>92</v>
      </c>
      <c r="K279" t="s">
        <v>34</v>
      </c>
      <c r="L279">
        <f t="shared" si="8"/>
        <v>2025</v>
      </c>
      <c r="M279">
        <f t="shared" si="9"/>
        <v>2</v>
      </c>
    </row>
    <row r="280" spans="1:13" x14ac:dyDescent="0.25">
      <c r="A280" t="s">
        <v>364</v>
      </c>
      <c r="B280" s="16">
        <v>45691</v>
      </c>
      <c r="C280" t="s">
        <v>51</v>
      </c>
      <c r="D280" t="s">
        <v>72</v>
      </c>
      <c r="E280">
        <v>30</v>
      </c>
      <c r="F280">
        <v>700</v>
      </c>
      <c r="G280">
        <v>21000</v>
      </c>
      <c r="H280" t="s">
        <v>73</v>
      </c>
      <c r="I280" t="s">
        <v>6</v>
      </c>
      <c r="J280" t="s">
        <v>95</v>
      </c>
      <c r="K280" t="s">
        <v>34</v>
      </c>
      <c r="L280">
        <f t="shared" si="8"/>
        <v>2025</v>
      </c>
      <c r="M280">
        <f t="shared" si="9"/>
        <v>2</v>
      </c>
    </row>
    <row r="281" spans="1:13" x14ac:dyDescent="0.25">
      <c r="A281" t="s">
        <v>365</v>
      </c>
      <c r="B281" s="16">
        <v>45692</v>
      </c>
      <c r="C281" t="s">
        <v>56</v>
      </c>
      <c r="D281" t="s">
        <v>52</v>
      </c>
      <c r="E281">
        <v>23</v>
      </c>
      <c r="F281">
        <v>220</v>
      </c>
      <c r="G281">
        <v>5060</v>
      </c>
      <c r="H281" t="s">
        <v>53</v>
      </c>
      <c r="I281" t="s">
        <v>6</v>
      </c>
      <c r="J281" t="s">
        <v>54</v>
      </c>
      <c r="K281" t="s">
        <v>33</v>
      </c>
      <c r="L281">
        <f t="shared" si="8"/>
        <v>2025</v>
      </c>
      <c r="M281">
        <f t="shared" si="9"/>
        <v>2</v>
      </c>
    </row>
    <row r="282" spans="1:13" x14ac:dyDescent="0.25">
      <c r="A282" t="s">
        <v>366</v>
      </c>
      <c r="B282" s="16">
        <v>45693</v>
      </c>
      <c r="C282" t="s">
        <v>61</v>
      </c>
      <c r="D282" t="s">
        <v>57</v>
      </c>
      <c r="E282">
        <v>48</v>
      </c>
      <c r="F282">
        <v>300</v>
      </c>
      <c r="G282">
        <v>14400</v>
      </c>
      <c r="H282" t="s">
        <v>58</v>
      </c>
      <c r="I282" t="s">
        <v>17</v>
      </c>
      <c r="J282" t="s">
        <v>59</v>
      </c>
      <c r="K282" t="s">
        <v>36</v>
      </c>
      <c r="L282">
        <f t="shared" si="8"/>
        <v>2025</v>
      </c>
      <c r="M282">
        <f t="shared" si="9"/>
        <v>2</v>
      </c>
    </row>
    <row r="283" spans="1:13" x14ac:dyDescent="0.25">
      <c r="A283" t="s">
        <v>367</v>
      </c>
      <c r="B283" s="16">
        <v>45694</v>
      </c>
      <c r="C283" t="s">
        <v>66</v>
      </c>
      <c r="D283" t="s">
        <v>62</v>
      </c>
      <c r="E283">
        <v>69</v>
      </c>
      <c r="F283">
        <v>250</v>
      </c>
      <c r="G283">
        <v>17250</v>
      </c>
      <c r="H283" t="s">
        <v>63</v>
      </c>
      <c r="I283" t="s">
        <v>17</v>
      </c>
      <c r="J283" t="s">
        <v>64</v>
      </c>
      <c r="K283" t="s">
        <v>35</v>
      </c>
      <c r="L283">
        <f t="shared" si="8"/>
        <v>2025</v>
      </c>
      <c r="M283">
        <f t="shared" si="9"/>
        <v>2</v>
      </c>
    </row>
    <row r="284" spans="1:13" x14ac:dyDescent="0.25">
      <c r="A284" t="s">
        <v>368</v>
      </c>
      <c r="B284" s="16">
        <v>45695</v>
      </c>
      <c r="C284" t="s">
        <v>71</v>
      </c>
      <c r="D284" t="s">
        <v>67</v>
      </c>
      <c r="E284">
        <v>66</v>
      </c>
      <c r="F284">
        <v>450</v>
      </c>
      <c r="G284">
        <v>29700</v>
      </c>
      <c r="H284" t="s">
        <v>68</v>
      </c>
      <c r="I284" t="s">
        <v>19</v>
      </c>
      <c r="J284" t="s">
        <v>69</v>
      </c>
      <c r="K284" t="s">
        <v>36</v>
      </c>
      <c r="L284">
        <f t="shared" si="8"/>
        <v>2025</v>
      </c>
      <c r="M284">
        <f t="shared" si="9"/>
        <v>2</v>
      </c>
    </row>
    <row r="285" spans="1:13" x14ac:dyDescent="0.25">
      <c r="A285" t="s">
        <v>369</v>
      </c>
      <c r="B285" s="16">
        <v>45696</v>
      </c>
      <c r="C285" t="s">
        <v>76</v>
      </c>
      <c r="D285" t="s">
        <v>72</v>
      </c>
      <c r="E285">
        <v>24</v>
      </c>
      <c r="F285">
        <v>700</v>
      </c>
      <c r="G285">
        <v>16800</v>
      </c>
      <c r="H285" t="s">
        <v>73</v>
      </c>
      <c r="I285" t="s">
        <v>6</v>
      </c>
      <c r="J285" t="s">
        <v>74</v>
      </c>
      <c r="K285" t="s">
        <v>34</v>
      </c>
      <c r="L285">
        <f t="shared" si="8"/>
        <v>2025</v>
      </c>
      <c r="M285">
        <f t="shared" si="9"/>
        <v>2</v>
      </c>
    </row>
    <row r="286" spans="1:13" x14ac:dyDescent="0.25">
      <c r="A286" t="s">
        <v>370</v>
      </c>
      <c r="B286" s="16">
        <v>45697</v>
      </c>
      <c r="C286" t="s">
        <v>79</v>
      </c>
      <c r="D286" t="s">
        <v>52</v>
      </c>
      <c r="E286">
        <v>35</v>
      </c>
      <c r="F286">
        <v>220</v>
      </c>
      <c r="G286">
        <v>7700</v>
      </c>
      <c r="H286" t="s">
        <v>53</v>
      </c>
      <c r="I286" t="s">
        <v>6</v>
      </c>
      <c r="J286" t="s">
        <v>54</v>
      </c>
      <c r="K286" t="s">
        <v>33</v>
      </c>
      <c r="L286">
        <f t="shared" si="8"/>
        <v>2025</v>
      </c>
      <c r="M286">
        <f t="shared" si="9"/>
        <v>2</v>
      </c>
    </row>
    <row r="287" spans="1:13" x14ac:dyDescent="0.25">
      <c r="A287" t="s">
        <v>371</v>
      </c>
      <c r="B287" s="16">
        <v>45698</v>
      </c>
      <c r="C287" t="s">
        <v>82</v>
      </c>
      <c r="D287" t="s">
        <v>57</v>
      </c>
      <c r="E287">
        <v>80</v>
      </c>
      <c r="F287">
        <v>300</v>
      </c>
      <c r="G287">
        <v>24000</v>
      </c>
      <c r="H287" t="s">
        <v>58</v>
      </c>
      <c r="I287" t="s">
        <v>17</v>
      </c>
      <c r="J287" t="s">
        <v>59</v>
      </c>
      <c r="K287" t="s">
        <v>36</v>
      </c>
      <c r="L287">
        <f t="shared" si="8"/>
        <v>2025</v>
      </c>
      <c r="M287">
        <f t="shared" si="9"/>
        <v>2</v>
      </c>
    </row>
    <row r="288" spans="1:13" x14ac:dyDescent="0.25">
      <c r="A288" t="s">
        <v>372</v>
      </c>
      <c r="B288" s="16">
        <v>45699</v>
      </c>
      <c r="C288" t="s">
        <v>85</v>
      </c>
      <c r="D288" t="s">
        <v>62</v>
      </c>
      <c r="E288">
        <v>34</v>
      </c>
      <c r="F288">
        <v>250</v>
      </c>
      <c r="G288">
        <v>8500</v>
      </c>
      <c r="H288" t="s">
        <v>63</v>
      </c>
      <c r="I288" t="s">
        <v>17</v>
      </c>
      <c r="J288" t="s">
        <v>64</v>
      </c>
      <c r="K288" t="s">
        <v>35</v>
      </c>
      <c r="L288">
        <f t="shared" si="8"/>
        <v>2025</v>
      </c>
      <c r="M288">
        <f t="shared" si="9"/>
        <v>2</v>
      </c>
    </row>
    <row r="289" spans="1:13" x14ac:dyDescent="0.25">
      <c r="A289" t="s">
        <v>373</v>
      </c>
      <c r="B289" s="16">
        <v>45700</v>
      </c>
      <c r="C289" t="s">
        <v>88</v>
      </c>
      <c r="D289" t="s">
        <v>67</v>
      </c>
      <c r="E289">
        <v>30</v>
      </c>
      <c r="F289">
        <v>450</v>
      </c>
      <c r="G289">
        <v>13500</v>
      </c>
      <c r="H289" t="s">
        <v>68</v>
      </c>
      <c r="I289" t="s">
        <v>19</v>
      </c>
      <c r="J289" t="s">
        <v>92</v>
      </c>
      <c r="K289" t="s">
        <v>34</v>
      </c>
      <c r="L289">
        <f t="shared" si="8"/>
        <v>2025</v>
      </c>
      <c r="M289">
        <f t="shared" si="9"/>
        <v>2</v>
      </c>
    </row>
    <row r="290" spans="1:13" x14ac:dyDescent="0.25">
      <c r="A290" t="s">
        <v>374</v>
      </c>
      <c r="B290" s="16">
        <v>45701</v>
      </c>
      <c r="C290" t="s">
        <v>91</v>
      </c>
      <c r="D290" t="s">
        <v>72</v>
      </c>
      <c r="E290">
        <v>43</v>
      </c>
      <c r="F290">
        <v>700</v>
      </c>
      <c r="G290">
        <v>30100</v>
      </c>
      <c r="H290" t="s">
        <v>73</v>
      </c>
      <c r="I290" t="s">
        <v>6</v>
      </c>
      <c r="J290" t="s">
        <v>95</v>
      </c>
      <c r="K290" t="s">
        <v>34</v>
      </c>
      <c r="L290">
        <f t="shared" si="8"/>
        <v>2025</v>
      </c>
      <c r="M290">
        <f t="shared" si="9"/>
        <v>2</v>
      </c>
    </row>
    <row r="291" spans="1:13" x14ac:dyDescent="0.25">
      <c r="A291" t="s">
        <v>375</v>
      </c>
      <c r="B291" s="16">
        <v>45702</v>
      </c>
      <c r="C291" t="s">
        <v>94</v>
      </c>
      <c r="D291" t="s">
        <v>57</v>
      </c>
      <c r="E291">
        <v>33</v>
      </c>
      <c r="F291">
        <v>300</v>
      </c>
      <c r="G291">
        <v>9900</v>
      </c>
      <c r="H291" t="s">
        <v>58</v>
      </c>
      <c r="I291" t="s">
        <v>17</v>
      </c>
      <c r="J291" t="s">
        <v>98</v>
      </c>
      <c r="K291" t="s">
        <v>33</v>
      </c>
      <c r="L291">
        <f t="shared" si="8"/>
        <v>2025</v>
      </c>
      <c r="M291">
        <f t="shared" si="9"/>
        <v>2</v>
      </c>
    </row>
    <row r="292" spans="1:13" x14ac:dyDescent="0.25">
      <c r="A292" t="s">
        <v>376</v>
      </c>
      <c r="B292" s="16">
        <v>45703</v>
      </c>
      <c r="C292" t="s">
        <v>97</v>
      </c>
      <c r="D292" t="s">
        <v>62</v>
      </c>
      <c r="E292">
        <v>39</v>
      </c>
      <c r="F292">
        <v>250</v>
      </c>
      <c r="G292">
        <v>9750</v>
      </c>
      <c r="H292" t="s">
        <v>63</v>
      </c>
      <c r="I292" t="s">
        <v>17</v>
      </c>
      <c r="J292" t="s">
        <v>86</v>
      </c>
      <c r="K292" t="s">
        <v>34</v>
      </c>
      <c r="L292">
        <f t="shared" si="8"/>
        <v>2025</v>
      </c>
      <c r="M292">
        <f t="shared" si="9"/>
        <v>2</v>
      </c>
    </row>
    <row r="293" spans="1:13" x14ac:dyDescent="0.25">
      <c r="A293" t="s">
        <v>377</v>
      </c>
      <c r="B293" s="16">
        <v>45704</v>
      </c>
      <c r="C293" t="s">
        <v>51</v>
      </c>
      <c r="D293" t="s">
        <v>67</v>
      </c>
      <c r="E293">
        <v>30</v>
      </c>
      <c r="F293">
        <v>450</v>
      </c>
      <c r="G293">
        <v>13500</v>
      </c>
      <c r="H293" t="s">
        <v>68</v>
      </c>
      <c r="I293" t="s">
        <v>19</v>
      </c>
      <c r="J293" t="s">
        <v>89</v>
      </c>
      <c r="K293" t="s">
        <v>34</v>
      </c>
      <c r="L293">
        <f t="shared" si="8"/>
        <v>2025</v>
      </c>
      <c r="M293">
        <f t="shared" si="9"/>
        <v>2</v>
      </c>
    </row>
    <row r="294" spans="1:13" x14ac:dyDescent="0.25">
      <c r="A294" t="s">
        <v>378</v>
      </c>
      <c r="B294" s="16">
        <v>45705</v>
      </c>
      <c r="C294" t="s">
        <v>56</v>
      </c>
      <c r="D294" t="s">
        <v>72</v>
      </c>
      <c r="E294">
        <v>70</v>
      </c>
      <c r="F294">
        <v>700</v>
      </c>
      <c r="G294">
        <v>49000</v>
      </c>
      <c r="H294" t="s">
        <v>73</v>
      </c>
      <c r="I294" t="s">
        <v>6</v>
      </c>
      <c r="J294" t="s">
        <v>92</v>
      </c>
      <c r="K294" t="s">
        <v>34</v>
      </c>
      <c r="L294">
        <f t="shared" si="8"/>
        <v>2025</v>
      </c>
      <c r="M294">
        <f t="shared" si="9"/>
        <v>2</v>
      </c>
    </row>
    <row r="295" spans="1:13" x14ac:dyDescent="0.25">
      <c r="A295" t="s">
        <v>379</v>
      </c>
      <c r="B295" s="16">
        <v>45706</v>
      </c>
      <c r="C295" t="s">
        <v>61</v>
      </c>
      <c r="D295" t="s">
        <v>52</v>
      </c>
      <c r="E295">
        <v>76</v>
      </c>
      <c r="F295">
        <v>220</v>
      </c>
      <c r="G295">
        <v>16720</v>
      </c>
      <c r="H295" t="s">
        <v>53</v>
      </c>
      <c r="I295" t="s">
        <v>6</v>
      </c>
      <c r="J295" t="s">
        <v>95</v>
      </c>
      <c r="K295" t="s">
        <v>34</v>
      </c>
      <c r="L295">
        <f t="shared" si="8"/>
        <v>2025</v>
      </c>
      <c r="M295">
        <f t="shared" si="9"/>
        <v>2</v>
      </c>
    </row>
    <row r="296" spans="1:13" x14ac:dyDescent="0.25">
      <c r="A296" t="s">
        <v>380</v>
      </c>
      <c r="B296" s="16">
        <v>45707</v>
      </c>
      <c r="C296" t="s">
        <v>66</v>
      </c>
      <c r="D296" t="s">
        <v>57</v>
      </c>
      <c r="E296">
        <v>69</v>
      </c>
      <c r="F296">
        <v>300</v>
      </c>
      <c r="G296">
        <v>20700</v>
      </c>
      <c r="H296" t="s">
        <v>58</v>
      </c>
      <c r="I296" t="s">
        <v>17</v>
      </c>
      <c r="J296" t="s">
        <v>54</v>
      </c>
      <c r="K296" t="s">
        <v>33</v>
      </c>
      <c r="L296">
        <f t="shared" si="8"/>
        <v>2025</v>
      </c>
      <c r="M296">
        <f t="shared" si="9"/>
        <v>2</v>
      </c>
    </row>
    <row r="297" spans="1:13" x14ac:dyDescent="0.25">
      <c r="A297" t="s">
        <v>381</v>
      </c>
      <c r="B297" s="16">
        <v>45708</v>
      </c>
      <c r="C297" t="s">
        <v>71</v>
      </c>
      <c r="D297" t="s">
        <v>62</v>
      </c>
      <c r="E297">
        <v>38</v>
      </c>
      <c r="F297">
        <v>250</v>
      </c>
      <c r="G297">
        <v>9500</v>
      </c>
      <c r="H297" t="s">
        <v>63</v>
      </c>
      <c r="I297" t="s">
        <v>17</v>
      </c>
      <c r="J297" t="s">
        <v>59</v>
      </c>
      <c r="K297" t="s">
        <v>36</v>
      </c>
      <c r="L297">
        <f t="shared" si="8"/>
        <v>2025</v>
      </c>
      <c r="M297">
        <f t="shared" si="9"/>
        <v>2</v>
      </c>
    </row>
    <row r="298" spans="1:13" x14ac:dyDescent="0.25">
      <c r="A298" t="s">
        <v>382</v>
      </c>
      <c r="B298" s="16">
        <v>45709</v>
      </c>
      <c r="C298" t="s">
        <v>76</v>
      </c>
      <c r="D298" t="s">
        <v>67</v>
      </c>
      <c r="E298">
        <v>44</v>
      </c>
      <c r="F298">
        <v>450</v>
      </c>
      <c r="G298">
        <v>19800</v>
      </c>
      <c r="H298" t="s">
        <v>68</v>
      </c>
      <c r="I298" t="s">
        <v>19</v>
      </c>
      <c r="J298" t="s">
        <v>64</v>
      </c>
      <c r="K298" t="s">
        <v>35</v>
      </c>
      <c r="L298">
        <f t="shared" si="8"/>
        <v>2025</v>
      </c>
      <c r="M298">
        <f t="shared" si="9"/>
        <v>2</v>
      </c>
    </row>
    <row r="299" spans="1:13" x14ac:dyDescent="0.25">
      <c r="A299" t="s">
        <v>383</v>
      </c>
      <c r="B299" s="16">
        <v>45710</v>
      </c>
      <c r="C299" t="s">
        <v>79</v>
      </c>
      <c r="D299" t="s">
        <v>72</v>
      </c>
      <c r="E299">
        <v>45</v>
      </c>
      <c r="F299">
        <v>700</v>
      </c>
      <c r="G299">
        <v>31500</v>
      </c>
      <c r="H299" t="s">
        <v>73</v>
      </c>
      <c r="I299" t="s">
        <v>6</v>
      </c>
      <c r="J299" t="s">
        <v>69</v>
      </c>
      <c r="K299" t="s">
        <v>36</v>
      </c>
      <c r="L299">
        <f t="shared" si="8"/>
        <v>2025</v>
      </c>
      <c r="M299">
        <f t="shared" si="9"/>
        <v>2</v>
      </c>
    </row>
    <row r="300" spans="1:13" x14ac:dyDescent="0.25">
      <c r="A300" t="s">
        <v>384</v>
      </c>
      <c r="B300" s="16">
        <v>45711</v>
      </c>
      <c r="C300" t="s">
        <v>82</v>
      </c>
      <c r="D300" t="s">
        <v>52</v>
      </c>
      <c r="E300">
        <v>65</v>
      </c>
      <c r="F300">
        <v>220</v>
      </c>
      <c r="G300">
        <v>14300</v>
      </c>
      <c r="H300" t="s">
        <v>53</v>
      </c>
      <c r="I300" t="s">
        <v>6</v>
      </c>
      <c r="J300" t="s">
        <v>98</v>
      </c>
      <c r="K300" t="s">
        <v>33</v>
      </c>
      <c r="L300">
        <f t="shared" si="8"/>
        <v>2025</v>
      </c>
      <c r="M300">
        <f t="shared" si="9"/>
        <v>2</v>
      </c>
    </row>
    <row r="301" spans="1:13" x14ac:dyDescent="0.25">
      <c r="A301" t="s">
        <v>385</v>
      </c>
      <c r="B301" s="16">
        <v>45712</v>
      </c>
      <c r="C301" t="s">
        <v>85</v>
      </c>
      <c r="D301" t="s">
        <v>57</v>
      </c>
      <c r="E301">
        <v>30</v>
      </c>
      <c r="F301">
        <v>300</v>
      </c>
      <c r="G301">
        <v>9000</v>
      </c>
      <c r="H301" t="s">
        <v>58</v>
      </c>
      <c r="I301" t="s">
        <v>17</v>
      </c>
      <c r="J301" t="s">
        <v>98</v>
      </c>
      <c r="K301" t="s">
        <v>33</v>
      </c>
      <c r="L301">
        <f t="shared" si="8"/>
        <v>2025</v>
      </c>
      <c r="M301">
        <f t="shared" si="9"/>
        <v>2</v>
      </c>
    </row>
    <row r="302" spans="1:13" x14ac:dyDescent="0.25">
      <c r="A302" t="s">
        <v>386</v>
      </c>
      <c r="B302" s="16">
        <v>45713</v>
      </c>
      <c r="C302" t="s">
        <v>88</v>
      </c>
      <c r="D302" t="s">
        <v>62</v>
      </c>
      <c r="E302">
        <v>53</v>
      </c>
      <c r="F302">
        <v>250</v>
      </c>
      <c r="G302">
        <v>13250</v>
      </c>
      <c r="H302" t="s">
        <v>63</v>
      </c>
      <c r="I302" t="s">
        <v>17</v>
      </c>
      <c r="J302" t="s">
        <v>86</v>
      </c>
      <c r="K302" t="s">
        <v>34</v>
      </c>
      <c r="L302">
        <f t="shared" si="8"/>
        <v>2025</v>
      </c>
      <c r="M302">
        <f t="shared" si="9"/>
        <v>2</v>
      </c>
    </row>
    <row r="303" spans="1:13" x14ac:dyDescent="0.25">
      <c r="A303" t="s">
        <v>387</v>
      </c>
      <c r="B303" s="16">
        <v>45714</v>
      </c>
      <c r="C303" t="s">
        <v>91</v>
      </c>
      <c r="D303" t="s">
        <v>67</v>
      </c>
      <c r="E303">
        <v>77</v>
      </c>
      <c r="F303">
        <v>450</v>
      </c>
      <c r="G303">
        <v>34650</v>
      </c>
      <c r="H303" t="s">
        <v>68</v>
      </c>
      <c r="I303" t="s">
        <v>19</v>
      </c>
      <c r="J303" t="s">
        <v>89</v>
      </c>
      <c r="K303" t="s">
        <v>34</v>
      </c>
      <c r="L303">
        <f t="shared" si="8"/>
        <v>2025</v>
      </c>
      <c r="M303">
        <f t="shared" si="9"/>
        <v>2</v>
      </c>
    </row>
    <row r="304" spans="1:13" x14ac:dyDescent="0.25">
      <c r="A304" t="s">
        <v>388</v>
      </c>
      <c r="B304" s="16">
        <v>45715</v>
      </c>
      <c r="C304" t="s">
        <v>94</v>
      </c>
      <c r="D304" t="s">
        <v>72</v>
      </c>
      <c r="E304">
        <v>64</v>
      </c>
      <c r="F304">
        <v>700</v>
      </c>
      <c r="G304">
        <v>44800</v>
      </c>
      <c r="H304" t="s">
        <v>73</v>
      </c>
      <c r="I304" t="s">
        <v>6</v>
      </c>
      <c r="J304" t="s">
        <v>92</v>
      </c>
      <c r="K304" t="s">
        <v>34</v>
      </c>
      <c r="L304">
        <f t="shared" si="8"/>
        <v>2025</v>
      </c>
      <c r="M304">
        <f t="shared" si="9"/>
        <v>2</v>
      </c>
    </row>
    <row r="305" spans="1:13" x14ac:dyDescent="0.25">
      <c r="A305" t="s">
        <v>389</v>
      </c>
      <c r="B305" s="16">
        <v>45716</v>
      </c>
      <c r="C305" t="s">
        <v>97</v>
      </c>
      <c r="D305" t="s">
        <v>52</v>
      </c>
      <c r="E305">
        <v>24</v>
      </c>
      <c r="F305">
        <v>220</v>
      </c>
      <c r="G305">
        <v>5280</v>
      </c>
      <c r="H305" t="s">
        <v>53</v>
      </c>
      <c r="I305" t="s">
        <v>6</v>
      </c>
      <c r="J305" t="s">
        <v>95</v>
      </c>
      <c r="K305" t="s">
        <v>34</v>
      </c>
      <c r="L305">
        <f t="shared" si="8"/>
        <v>2025</v>
      </c>
      <c r="M305">
        <f t="shared" si="9"/>
        <v>2</v>
      </c>
    </row>
    <row r="306" spans="1:13" x14ac:dyDescent="0.25">
      <c r="A306" t="s">
        <v>390</v>
      </c>
      <c r="B306" s="16">
        <v>45717</v>
      </c>
      <c r="C306" t="s">
        <v>85</v>
      </c>
      <c r="D306" t="s">
        <v>57</v>
      </c>
      <c r="E306">
        <v>74</v>
      </c>
      <c r="F306">
        <v>300</v>
      </c>
      <c r="G306">
        <v>22200</v>
      </c>
      <c r="H306" t="s">
        <v>58</v>
      </c>
      <c r="I306" t="s">
        <v>17</v>
      </c>
      <c r="J306" t="s">
        <v>54</v>
      </c>
      <c r="K306" t="s">
        <v>33</v>
      </c>
      <c r="L306">
        <f t="shared" si="8"/>
        <v>2025</v>
      </c>
      <c r="M306">
        <f t="shared" si="9"/>
        <v>3</v>
      </c>
    </row>
    <row r="307" spans="1:13" x14ac:dyDescent="0.25">
      <c r="A307" t="s">
        <v>391</v>
      </c>
      <c r="B307" s="16">
        <v>45718</v>
      </c>
      <c r="C307" t="s">
        <v>88</v>
      </c>
      <c r="D307" t="s">
        <v>62</v>
      </c>
      <c r="E307">
        <v>36</v>
      </c>
      <c r="F307">
        <v>250</v>
      </c>
      <c r="G307">
        <v>9000</v>
      </c>
      <c r="H307" t="s">
        <v>63</v>
      </c>
      <c r="I307" t="s">
        <v>17</v>
      </c>
      <c r="J307" t="s">
        <v>59</v>
      </c>
      <c r="K307" t="s">
        <v>36</v>
      </c>
      <c r="L307">
        <f t="shared" si="8"/>
        <v>2025</v>
      </c>
      <c r="M307">
        <f t="shared" si="9"/>
        <v>3</v>
      </c>
    </row>
    <row r="308" spans="1:13" x14ac:dyDescent="0.25">
      <c r="A308" t="s">
        <v>392</v>
      </c>
      <c r="B308" s="16">
        <v>45719</v>
      </c>
      <c r="C308" t="s">
        <v>91</v>
      </c>
      <c r="D308" t="s">
        <v>67</v>
      </c>
      <c r="E308">
        <v>50</v>
      </c>
      <c r="F308">
        <v>450</v>
      </c>
      <c r="G308">
        <v>22500</v>
      </c>
      <c r="H308" t="s">
        <v>68</v>
      </c>
      <c r="I308" t="s">
        <v>19</v>
      </c>
      <c r="J308" t="s">
        <v>64</v>
      </c>
      <c r="K308" t="s">
        <v>35</v>
      </c>
      <c r="L308">
        <f t="shared" si="8"/>
        <v>2025</v>
      </c>
      <c r="M308">
        <f t="shared" si="9"/>
        <v>3</v>
      </c>
    </row>
    <row r="309" spans="1:13" x14ac:dyDescent="0.25">
      <c r="A309" t="s">
        <v>393</v>
      </c>
      <c r="B309" s="16">
        <v>45720</v>
      </c>
      <c r="C309" t="s">
        <v>94</v>
      </c>
      <c r="D309" t="s">
        <v>72</v>
      </c>
      <c r="E309">
        <v>70</v>
      </c>
      <c r="F309">
        <v>700</v>
      </c>
      <c r="G309">
        <v>49000</v>
      </c>
      <c r="H309" t="s">
        <v>73</v>
      </c>
      <c r="I309" t="s">
        <v>6</v>
      </c>
      <c r="J309" t="s">
        <v>69</v>
      </c>
      <c r="K309" t="s">
        <v>36</v>
      </c>
      <c r="L309">
        <f t="shared" si="8"/>
        <v>2025</v>
      </c>
      <c r="M309">
        <f t="shared" si="9"/>
        <v>3</v>
      </c>
    </row>
    <row r="310" spans="1:13" x14ac:dyDescent="0.25">
      <c r="A310" t="s">
        <v>394</v>
      </c>
      <c r="B310" s="16">
        <v>45721</v>
      </c>
      <c r="C310" t="s">
        <v>51</v>
      </c>
      <c r="D310" t="s">
        <v>52</v>
      </c>
      <c r="E310">
        <v>75</v>
      </c>
      <c r="F310">
        <v>220</v>
      </c>
      <c r="G310">
        <v>16500</v>
      </c>
      <c r="H310" t="s">
        <v>53</v>
      </c>
      <c r="I310" t="s">
        <v>6</v>
      </c>
      <c r="J310" t="s">
        <v>74</v>
      </c>
      <c r="K310" t="s">
        <v>34</v>
      </c>
      <c r="L310">
        <f t="shared" si="8"/>
        <v>2025</v>
      </c>
      <c r="M310">
        <f t="shared" si="9"/>
        <v>3</v>
      </c>
    </row>
    <row r="311" spans="1:13" x14ac:dyDescent="0.25">
      <c r="A311" t="s">
        <v>395</v>
      </c>
      <c r="B311" s="16">
        <v>45722</v>
      </c>
      <c r="C311" t="s">
        <v>56</v>
      </c>
      <c r="D311" t="s">
        <v>57</v>
      </c>
      <c r="E311">
        <v>51</v>
      </c>
      <c r="F311">
        <v>300</v>
      </c>
      <c r="G311">
        <v>15300</v>
      </c>
      <c r="H311" t="s">
        <v>58</v>
      </c>
      <c r="I311" t="s">
        <v>17</v>
      </c>
      <c r="J311" t="s">
        <v>54</v>
      </c>
      <c r="K311" t="s">
        <v>33</v>
      </c>
      <c r="L311">
        <f t="shared" si="8"/>
        <v>2025</v>
      </c>
      <c r="M311">
        <f t="shared" si="9"/>
        <v>3</v>
      </c>
    </row>
    <row r="312" spans="1:13" x14ac:dyDescent="0.25">
      <c r="A312" t="s">
        <v>396</v>
      </c>
      <c r="B312" s="16">
        <v>45723</v>
      </c>
      <c r="C312" t="s">
        <v>61</v>
      </c>
      <c r="D312" t="s">
        <v>62</v>
      </c>
      <c r="E312">
        <v>40</v>
      </c>
      <c r="F312">
        <v>250</v>
      </c>
      <c r="G312">
        <v>10000</v>
      </c>
      <c r="H312" t="s">
        <v>63</v>
      </c>
      <c r="I312" t="s">
        <v>17</v>
      </c>
      <c r="J312" t="s">
        <v>59</v>
      </c>
      <c r="K312" t="s">
        <v>36</v>
      </c>
      <c r="L312">
        <f t="shared" si="8"/>
        <v>2025</v>
      </c>
      <c r="M312">
        <f t="shared" si="9"/>
        <v>3</v>
      </c>
    </row>
    <row r="313" spans="1:13" x14ac:dyDescent="0.25">
      <c r="A313" t="s">
        <v>397</v>
      </c>
      <c r="B313" s="16">
        <v>45724</v>
      </c>
      <c r="C313" t="s">
        <v>66</v>
      </c>
      <c r="D313" t="s">
        <v>67</v>
      </c>
      <c r="E313">
        <v>36</v>
      </c>
      <c r="F313">
        <v>450</v>
      </c>
      <c r="G313">
        <v>16200</v>
      </c>
      <c r="H313" t="s">
        <v>68</v>
      </c>
      <c r="I313" t="s">
        <v>19</v>
      </c>
      <c r="J313" t="s">
        <v>64</v>
      </c>
      <c r="K313" t="s">
        <v>35</v>
      </c>
      <c r="L313">
        <f t="shared" si="8"/>
        <v>2025</v>
      </c>
      <c r="M313">
        <f t="shared" si="9"/>
        <v>3</v>
      </c>
    </row>
    <row r="314" spans="1:13" x14ac:dyDescent="0.25">
      <c r="A314" t="s">
        <v>398</v>
      </c>
      <c r="B314" s="16">
        <v>45725</v>
      </c>
      <c r="C314" t="s">
        <v>71</v>
      </c>
      <c r="D314" t="s">
        <v>72</v>
      </c>
      <c r="E314">
        <v>58</v>
      </c>
      <c r="F314">
        <v>700</v>
      </c>
      <c r="G314">
        <v>40600</v>
      </c>
      <c r="H314" t="s">
        <v>73</v>
      </c>
      <c r="I314" t="s">
        <v>6</v>
      </c>
      <c r="J314" t="s">
        <v>92</v>
      </c>
      <c r="K314" t="s">
        <v>34</v>
      </c>
      <c r="L314">
        <f t="shared" si="8"/>
        <v>2025</v>
      </c>
      <c r="M314">
        <f t="shared" si="9"/>
        <v>3</v>
      </c>
    </row>
    <row r="315" spans="1:13" x14ac:dyDescent="0.25">
      <c r="A315" t="s">
        <v>399</v>
      </c>
      <c r="B315" s="16">
        <v>45726</v>
      </c>
      <c r="C315" t="s">
        <v>51</v>
      </c>
      <c r="D315" t="s">
        <v>52</v>
      </c>
      <c r="E315">
        <v>37</v>
      </c>
      <c r="F315">
        <v>220</v>
      </c>
      <c r="G315">
        <v>8140</v>
      </c>
      <c r="H315" t="s">
        <v>53</v>
      </c>
      <c r="I315" t="s">
        <v>6</v>
      </c>
      <c r="J315" t="s">
        <v>95</v>
      </c>
      <c r="K315" t="s">
        <v>34</v>
      </c>
      <c r="L315">
        <f t="shared" si="8"/>
        <v>2025</v>
      </c>
      <c r="M315">
        <f t="shared" si="9"/>
        <v>3</v>
      </c>
    </row>
    <row r="316" spans="1:13" x14ac:dyDescent="0.25">
      <c r="A316" t="s">
        <v>400</v>
      </c>
      <c r="B316" s="16">
        <v>45727</v>
      </c>
      <c r="C316" t="s">
        <v>56</v>
      </c>
      <c r="D316" t="s">
        <v>57</v>
      </c>
      <c r="E316">
        <v>52</v>
      </c>
      <c r="F316">
        <v>300</v>
      </c>
      <c r="G316">
        <v>15600</v>
      </c>
      <c r="H316" t="s">
        <v>58</v>
      </c>
      <c r="I316" t="s">
        <v>17</v>
      </c>
      <c r="J316" t="s">
        <v>98</v>
      </c>
      <c r="K316" t="s">
        <v>33</v>
      </c>
      <c r="L316">
        <f t="shared" si="8"/>
        <v>2025</v>
      </c>
      <c r="M316">
        <f t="shared" si="9"/>
        <v>3</v>
      </c>
    </row>
    <row r="317" spans="1:13" x14ac:dyDescent="0.25">
      <c r="A317" t="s">
        <v>401</v>
      </c>
      <c r="B317" s="16">
        <v>45728</v>
      </c>
      <c r="C317" t="s">
        <v>61</v>
      </c>
      <c r="D317" t="s">
        <v>62</v>
      </c>
      <c r="E317">
        <v>20</v>
      </c>
      <c r="F317">
        <v>250</v>
      </c>
      <c r="G317">
        <v>5000</v>
      </c>
      <c r="H317" t="s">
        <v>63</v>
      </c>
      <c r="I317" t="s">
        <v>17</v>
      </c>
      <c r="J317" t="s">
        <v>86</v>
      </c>
      <c r="K317" t="s">
        <v>34</v>
      </c>
      <c r="L317">
        <f t="shared" si="8"/>
        <v>2025</v>
      </c>
      <c r="M317">
        <f t="shared" si="9"/>
        <v>3</v>
      </c>
    </row>
    <row r="318" spans="1:13" x14ac:dyDescent="0.25">
      <c r="A318" t="s">
        <v>402</v>
      </c>
      <c r="B318" s="16">
        <v>45729</v>
      </c>
      <c r="C318" t="s">
        <v>91</v>
      </c>
      <c r="D318" t="s">
        <v>67</v>
      </c>
      <c r="E318">
        <v>23</v>
      </c>
      <c r="F318">
        <v>450</v>
      </c>
      <c r="G318">
        <v>10350</v>
      </c>
      <c r="H318" t="s">
        <v>68</v>
      </c>
      <c r="I318" t="s">
        <v>19</v>
      </c>
      <c r="J318" t="s">
        <v>89</v>
      </c>
      <c r="K318" t="s">
        <v>34</v>
      </c>
      <c r="L318">
        <f t="shared" si="8"/>
        <v>2025</v>
      </c>
      <c r="M318">
        <f t="shared" si="9"/>
        <v>3</v>
      </c>
    </row>
    <row r="319" spans="1:13" x14ac:dyDescent="0.25">
      <c r="A319" t="s">
        <v>403</v>
      </c>
      <c r="B319" s="16">
        <v>45730</v>
      </c>
      <c r="C319" t="s">
        <v>94</v>
      </c>
      <c r="D319" t="s">
        <v>72</v>
      </c>
      <c r="E319">
        <v>57</v>
      </c>
      <c r="F319">
        <v>700</v>
      </c>
      <c r="G319">
        <v>39900</v>
      </c>
      <c r="H319" t="s">
        <v>73</v>
      </c>
      <c r="I319" t="s">
        <v>6</v>
      </c>
      <c r="J319" t="s">
        <v>92</v>
      </c>
      <c r="K319" t="s">
        <v>34</v>
      </c>
      <c r="L319">
        <f t="shared" si="8"/>
        <v>2025</v>
      </c>
      <c r="M319">
        <f t="shared" si="9"/>
        <v>3</v>
      </c>
    </row>
    <row r="320" spans="1:13" x14ac:dyDescent="0.25">
      <c r="A320" t="s">
        <v>404</v>
      </c>
      <c r="B320" s="16">
        <v>45731</v>
      </c>
      <c r="C320" t="s">
        <v>97</v>
      </c>
      <c r="D320" t="s">
        <v>52</v>
      </c>
      <c r="E320">
        <v>45</v>
      </c>
      <c r="F320">
        <v>220</v>
      </c>
      <c r="G320">
        <v>9900</v>
      </c>
      <c r="H320" t="s">
        <v>53</v>
      </c>
      <c r="I320" t="s">
        <v>6</v>
      </c>
      <c r="J320" t="s">
        <v>95</v>
      </c>
      <c r="K320" t="s">
        <v>34</v>
      </c>
      <c r="L320">
        <f t="shared" si="8"/>
        <v>2025</v>
      </c>
      <c r="M320">
        <f t="shared" si="9"/>
        <v>3</v>
      </c>
    </row>
    <row r="321" spans="1:13" x14ac:dyDescent="0.25">
      <c r="A321" t="s">
        <v>405</v>
      </c>
      <c r="B321" s="16">
        <v>45732</v>
      </c>
      <c r="C321" t="s">
        <v>85</v>
      </c>
      <c r="D321" t="s">
        <v>57</v>
      </c>
      <c r="E321">
        <v>59</v>
      </c>
      <c r="F321">
        <v>300</v>
      </c>
      <c r="G321">
        <v>17700</v>
      </c>
      <c r="H321" t="s">
        <v>58</v>
      </c>
      <c r="I321" t="s">
        <v>17</v>
      </c>
      <c r="J321" t="s">
        <v>54</v>
      </c>
      <c r="K321" t="s">
        <v>33</v>
      </c>
      <c r="L321">
        <f t="shared" si="8"/>
        <v>2025</v>
      </c>
      <c r="M321">
        <f t="shared" si="9"/>
        <v>3</v>
      </c>
    </row>
    <row r="322" spans="1:13" x14ac:dyDescent="0.25">
      <c r="A322" t="s">
        <v>406</v>
      </c>
      <c r="B322" s="16">
        <v>45733</v>
      </c>
      <c r="C322" t="s">
        <v>88</v>
      </c>
      <c r="D322" t="s">
        <v>62</v>
      </c>
      <c r="E322">
        <v>21</v>
      </c>
      <c r="F322">
        <v>250</v>
      </c>
      <c r="G322">
        <v>5250</v>
      </c>
      <c r="H322" t="s">
        <v>63</v>
      </c>
      <c r="I322" t="s">
        <v>17</v>
      </c>
      <c r="J322" t="s">
        <v>59</v>
      </c>
      <c r="K322" t="s">
        <v>36</v>
      </c>
      <c r="L322">
        <f t="shared" ref="L322:L373" si="10">YEAR(B322)</f>
        <v>2025</v>
      </c>
      <c r="M322">
        <f t="shared" ref="M322:M373" si="11">MONTH(B322)</f>
        <v>3</v>
      </c>
    </row>
    <row r="323" spans="1:13" x14ac:dyDescent="0.25">
      <c r="A323" t="s">
        <v>407</v>
      </c>
      <c r="B323" s="16">
        <v>45734</v>
      </c>
      <c r="C323" t="s">
        <v>91</v>
      </c>
      <c r="D323" t="s">
        <v>67</v>
      </c>
      <c r="E323">
        <v>50</v>
      </c>
      <c r="F323">
        <v>450</v>
      </c>
      <c r="G323">
        <v>22500</v>
      </c>
      <c r="H323" t="s">
        <v>68</v>
      </c>
      <c r="I323" t="s">
        <v>19</v>
      </c>
      <c r="J323" t="s">
        <v>64</v>
      </c>
      <c r="K323" t="s">
        <v>35</v>
      </c>
      <c r="L323">
        <f t="shared" si="10"/>
        <v>2025</v>
      </c>
      <c r="M323">
        <f t="shared" si="11"/>
        <v>3</v>
      </c>
    </row>
    <row r="324" spans="1:13" x14ac:dyDescent="0.25">
      <c r="A324" t="s">
        <v>408</v>
      </c>
      <c r="B324" s="16">
        <v>45735</v>
      </c>
      <c r="C324" t="s">
        <v>94</v>
      </c>
      <c r="D324" t="s">
        <v>72</v>
      </c>
      <c r="E324">
        <v>42</v>
      </c>
      <c r="F324">
        <v>700</v>
      </c>
      <c r="G324">
        <v>29400</v>
      </c>
      <c r="H324" t="s">
        <v>73</v>
      </c>
      <c r="I324" t="s">
        <v>6</v>
      </c>
      <c r="J324" t="s">
        <v>69</v>
      </c>
      <c r="K324" t="s">
        <v>36</v>
      </c>
      <c r="L324">
        <f t="shared" si="10"/>
        <v>2025</v>
      </c>
      <c r="M324">
        <f t="shared" si="11"/>
        <v>3</v>
      </c>
    </row>
    <row r="325" spans="1:13" x14ac:dyDescent="0.25">
      <c r="A325" t="s">
        <v>409</v>
      </c>
      <c r="B325" s="16">
        <v>45736</v>
      </c>
      <c r="C325" t="s">
        <v>51</v>
      </c>
      <c r="D325" t="s">
        <v>52</v>
      </c>
      <c r="E325">
        <v>21</v>
      </c>
      <c r="F325">
        <v>220</v>
      </c>
      <c r="G325">
        <v>4620</v>
      </c>
      <c r="H325" t="s">
        <v>53</v>
      </c>
      <c r="I325" t="s">
        <v>6</v>
      </c>
      <c r="J325" t="s">
        <v>98</v>
      </c>
      <c r="K325" t="s">
        <v>33</v>
      </c>
      <c r="L325">
        <f t="shared" si="10"/>
        <v>2025</v>
      </c>
      <c r="M325">
        <f t="shared" si="11"/>
        <v>3</v>
      </c>
    </row>
    <row r="326" spans="1:13" x14ac:dyDescent="0.25">
      <c r="A326" t="s">
        <v>410</v>
      </c>
      <c r="B326" s="16">
        <v>45737</v>
      </c>
      <c r="C326" t="s">
        <v>56</v>
      </c>
      <c r="D326" t="s">
        <v>57</v>
      </c>
      <c r="E326">
        <v>29</v>
      </c>
      <c r="F326">
        <v>300</v>
      </c>
      <c r="G326">
        <v>8700</v>
      </c>
      <c r="H326" t="s">
        <v>58</v>
      </c>
      <c r="I326" t="s">
        <v>17</v>
      </c>
      <c r="J326" t="s">
        <v>54</v>
      </c>
      <c r="K326" t="s">
        <v>33</v>
      </c>
      <c r="L326">
        <f t="shared" si="10"/>
        <v>2025</v>
      </c>
      <c r="M326">
        <f t="shared" si="11"/>
        <v>3</v>
      </c>
    </row>
    <row r="327" spans="1:13" x14ac:dyDescent="0.25">
      <c r="A327" t="s">
        <v>411</v>
      </c>
      <c r="B327" s="16">
        <v>45738</v>
      </c>
      <c r="C327" t="s">
        <v>61</v>
      </c>
      <c r="D327" t="s">
        <v>62</v>
      </c>
      <c r="E327">
        <v>33</v>
      </c>
      <c r="F327">
        <v>250</v>
      </c>
      <c r="G327">
        <v>8250</v>
      </c>
      <c r="H327" t="s">
        <v>63</v>
      </c>
      <c r="I327" t="s">
        <v>17</v>
      </c>
      <c r="J327" t="s">
        <v>59</v>
      </c>
      <c r="K327" t="s">
        <v>36</v>
      </c>
      <c r="L327">
        <f t="shared" si="10"/>
        <v>2025</v>
      </c>
      <c r="M327">
        <f t="shared" si="11"/>
        <v>3</v>
      </c>
    </row>
    <row r="328" spans="1:13" x14ac:dyDescent="0.25">
      <c r="A328" t="s">
        <v>412</v>
      </c>
      <c r="B328" s="16">
        <v>45739</v>
      </c>
      <c r="C328" t="s">
        <v>66</v>
      </c>
      <c r="D328" t="s">
        <v>67</v>
      </c>
      <c r="E328">
        <v>59</v>
      </c>
      <c r="F328">
        <v>450</v>
      </c>
      <c r="G328">
        <v>26550</v>
      </c>
      <c r="H328" t="s">
        <v>68</v>
      </c>
      <c r="I328" t="s">
        <v>19</v>
      </c>
      <c r="J328" t="s">
        <v>64</v>
      </c>
      <c r="K328" t="s">
        <v>35</v>
      </c>
      <c r="L328">
        <f t="shared" si="10"/>
        <v>2025</v>
      </c>
      <c r="M328">
        <f t="shared" si="11"/>
        <v>3</v>
      </c>
    </row>
    <row r="329" spans="1:13" x14ac:dyDescent="0.25">
      <c r="A329" t="s">
        <v>413</v>
      </c>
      <c r="B329" s="16">
        <v>45740</v>
      </c>
      <c r="C329" t="s">
        <v>97</v>
      </c>
      <c r="D329" t="s">
        <v>72</v>
      </c>
      <c r="E329">
        <v>21</v>
      </c>
      <c r="F329">
        <v>700</v>
      </c>
      <c r="G329">
        <v>14700</v>
      </c>
      <c r="H329" t="s">
        <v>73</v>
      </c>
      <c r="I329" t="s">
        <v>6</v>
      </c>
      <c r="J329" t="s">
        <v>69</v>
      </c>
      <c r="K329" t="s">
        <v>36</v>
      </c>
      <c r="L329">
        <f t="shared" si="10"/>
        <v>2025</v>
      </c>
      <c r="M329">
        <f t="shared" si="11"/>
        <v>3</v>
      </c>
    </row>
    <row r="330" spans="1:13" x14ac:dyDescent="0.25">
      <c r="A330" t="s">
        <v>414</v>
      </c>
      <c r="B330" s="16">
        <v>45741</v>
      </c>
      <c r="C330" t="s">
        <v>51</v>
      </c>
      <c r="D330" t="s">
        <v>52</v>
      </c>
      <c r="E330">
        <v>41</v>
      </c>
      <c r="F330">
        <v>220</v>
      </c>
      <c r="G330">
        <v>9020</v>
      </c>
      <c r="H330" t="s">
        <v>53</v>
      </c>
      <c r="I330" t="s">
        <v>6</v>
      </c>
      <c r="J330" t="s">
        <v>74</v>
      </c>
      <c r="K330" t="s">
        <v>34</v>
      </c>
      <c r="L330">
        <f t="shared" si="10"/>
        <v>2025</v>
      </c>
      <c r="M330">
        <f t="shared" si="11"/>
        <v>3</v>
      </c>
    </row>
    <row r="331" spans="1:13" x14ac:dyDescent="0.25">
      <c r="A331" t="s">
        <v>415</v>
      </c>
      <c r="B331" s="16">
        <v>45742</v>
      </c>
      <c r="C331" t="s">
        <v>56</v>
      </c>
      <c r="D331" t="s">
        <v>57</v>
      </c>
      <c r="E331">
        <v>42</v>
      </c>
      <c r="F331">
        <v>300</v>
      </c>
      <c r="G331">
        <v>12600</v>
      </c>
      <c r="H331" t="s">
        <v>58</v>
      </c>
      <c r="I331" t="s">
        <v>17</v>
      </c>
      <c r="J331" t="s">
        <v>77</v>
      </c>
      <c r="K331" t="s">
        <v>36</v>
      </c>
      <c r="L331">
        <f t="shared" si="10"/>
        <v>2025</v>
      </c>
      <c r="M331">
        <f t="shared" si="11"/>
        <v>3</v>
      </c>
    </row>
    <row r="332" spans="1:13" x14ac:dyDescent="0.25">
      <c r="A332" t="s">
        <v>416</v>
      </c>
      <c r="B332" s="16">
        <v>45743</v>
      </c>
      <c r="C332" t="s">
        <v>61</v>
      </c>
      <c r="D332" t="s">
        <v>62</v>
      </c>
      <c r="E332">
        <v>63</v>
      </c>
      <c r="F332">
        <v>250</v>
      </c>
      <c r="G332">
        <v>15750</v>
      </c>
      <c r="H332" t="s">
        <v>63</v>
      </c>
      <c r="I332" t="s">
        <v>17</v>
      </c>
      <c r="J332" t="s">
        <v>80</v>
      </c>
      <c r="K332" t="s">
        <v>35</v>
      </c>
      <c r="L332">
        <f t="shared" si="10"/>
        <v>2025</v>
      </c>
      <c r="M332">
        <f t="shared" si="11"/>
        <v>3</v>
      </c>
    </row>
    <row r="333" spans="1:13" x14ac:dyDescent="0.25">
      <c r="A333" t="s">
        <v>417</v>
      </c>
      <c r="B333" s="16">
        <v>45744</v>
      </c>
      <c r="C333" t="s">
        <v>91</v>
      </c>
      <c r="D333" t="s">
        <v>67</v>
      </c>
      <c r="E333">
        <v>26</v>
      </c>
      <c r="F333">
        <v>450</v>
      </c>
      <c r="G333">
        <v>11700</v>
      </c>
      <c r="H333" t="s">
        <v>68</v>
      </c>
      <c r="I333" t="s">
        <v>19</v>
      </c>
      <c r="J333" t="s">
        <v>83</v>
      </c>
      <c r="K333" t="s">
        <v>33</v>
      </c>
      <c r="L333">
        <f t="shared" si="10"/>
        <v>2025</v>
      </c>
      <c r="M333">
        <f t="shared" si="11"/>
        <v>3</v>
      </c>
    </row>
    <row r="334" spans="1:13" x14ac:dyDescent="0.25">
      <c r="A334" t="s">
        <v>418</v>
      </c>
      <c r="B334" s="16">
        <v>45745</v>
      </c>
      <c r="C334" t="s">
        <v>94</v>
      </c>
      <c r="D334" t="s">
        <v>72</v>
      </c>
      <c r="E334">
        <v>63</v>
      </c>
      <c r="F334">
        <v>700</v>
      </c>
      <c r="G334">
        <v>44100</v>
      </c>
      <c r="H334" t="s">
        <v>73</v>
      </c>
      <c r="I334" t="s">
        <v>6</v>
      </c>
      <c r="J334" t="s">
        <v>86</v>
      </c>
      <c r="K334" t="s">
        <v>34</v>
      </c>
      <c r="L334">
        <f t="shared" si="10"/>
        <v>2025</v>
      </c>
      <c r="M334">
        <f t="shared" si="11"/>
        <v>3</v>
      </c>
    </row>
    <row r="335" spans="1:13" x14ac:dyDescent="0.25">
      <c r="A335" t="s">
        <v>419</v>
      </c>
      <c r="B335" s="16">
        <v>45746</v>
      </c>
      <c r="C335" t="s">
        <v>97</v>
      </c>
      <c r="D335" t="s">
        <v>52</v>
      </c>
      <c r="E335">
        <v>55</v>
      </c>
      <c r="F335">
        <v>220</v>
      </c>
      <c r="G335">
        <v>12100</v>
      </c>
      <c r="H335" t="s">
        <v>53</v>
      </c>
      <c r="I335" t="s">
        <v>6</v>
      </c>
      <c r="J335" t="s">
        <v>89</v>
      </c>
      <c r="K335" t="s">
        <v>34</v>
      </c>
      <c r="L335">
        <f t="shared" si="10"/>
        <v>2025</v>
      </c>
      <c r="M335">
        <f t="shared" si="11"/>
        <v>3</v>
      </c>
    </row>
    <row r="336" spans="1:13" x14ac:dyDescent="0.25">
      <c r="A336" t="s">
        <v>420</v>
      </c>
      <c r="B336" s="16">
        <v>45747</v>
      </c>
      <c r="C336" t="s">
        <v>85</v>
      </c>
      <c r="D336" t="s">
        <v>57</v>
      </c>
      <c r="E336">
        <v>62</v>
      </c>
      <c r="F336">
        <v>300</v>
      </c>
      <c r="G336">
        <v>18600</v>
      </c>
      <c r="H336" t="s">
        <v>58</v>
      </c>
      <c r="I336" t="s">
        <v>17</v>
      </c>
      <c r="J336" t="s">
        <v>92</v>
      </c>
      <c r="K336" t="s">
        <v>34</v>
      </c>
      <c r="L336">
        <f t="shared" si="10"/>
        <v>2025</v>
      </c>
      <c r="M336">
        <f t="shared" si="11"/>
        <v>3</v>
      </c>
    </row>
    <row r="337" spans="1:13" x14ac:dyDescent="0.25">
      <c r="A337" t="s">
        <v>421</v>
      </c>
      <c r="B337" s="16">
        <v>45748</v>
      </c>
      <c r="C337" t="s">
        <v>88</v>
      </c>
      <c r="D337" t="s">
        <v>62</v>
      </c>
      <c r="E337">
        <v>60</v>
      </c>
      <c r="F337">
        <v>250</v>
      </c>
      <c r="G337">
        <v>15000</v>
      </c>
      <c r="H337" t="s">
        <v>63</v>
      </c>
      <c r="I337" t="s">
        <v>17</v>
      </c>
      <c r="J337" t="s">
        <v>95</v>
      </c>
      <c r="K337" t="s">
        <v>34</v>
      </c>
      <c r="L337">
        <f t="shared" si="10"/>
        <v>2025</v>
      </c>
      <c r="M337">
        <f t="shared" si="11"/>
        <v>4</v>
      </c>
    </row>
    <row r="338" spans="1:13" x14ac:dyDescent="0.25">
      <c r="A338" t="s">
        <v>422</v>
      </c>
      <c r="B338" s="16">
        <v>45749</v>
      </c>
      <c r="C338" t="s">
        <v>91</v>
      </c>
      <c r="D338" t="s">
        <v>67</v>
      </c>
      <c r="E338">
        <v>37</v>
      </c>
      <c r="F338">
        <v>450</v>
      </c>
      <c r="G338">
        <v>16650</v>
      </c>
      <c r="H338" t="s">
        <v>68</v>
      </c>
      <c r="I338" t="s">
        <v>19</v>
      </c>
      <c r="J338" t="s">
        <v>98</v>
      </c>
      <c r="K338" t="s">
        <v>33</v>
      </c>
      <c r="L338">
        <f t="shared" si="10"/>
        <v>2025</v>
      </c>
      <c r="M338">
        <f t="shared" si="11"/>
        <v>4</v>
      </c>
    </row>
    <row r="339" spans="1:13" x14ac:dyDescent="0.25">
      <c r="A339" t="s">
        <v>423</v>
      </c>
      <c r="B339" s="16">
        <v>45750</v>
      </c>
      <c r="C339" t="s">
        <v>94</v>
      </c>
      <c r="D339" t="s">
        <v>72</v>
      </c>
      <c r="E339">
        <v>57</v>
      </c>
      <c r="F339">
        <v>700</v>
      </c>
      <c r="G339">
        <v>39900</v>
      </c>
      <c r="H339" t="s">
        <v>73</v>
      </c>
      <c r="I339" t="s">
        <v>6</v>
      </c>
      <c r="J339" t="s">
        <v>54</v>
      </c>
      <c r="K339" t="s">
        <v>33</v>
      </c>
      <c r="L339">
        <f t="shared" si="10"/>
        <v>2025</v>
      </c>
      <c r="M339">
        <f t="shared" si="11"/>
        <v>4</v>
      </c>
    </row>
    <row r="340" spans="1:13" x14ac:dyDescent="0.25">
      <c r="A340" t="s">
        <v>424</v>
      </c>
      <c r="B340" s="16">
        <v>45751</v>
      </c>
      <c r="C340" t="s">
        <v>51</v>
      </c>
      <c r="D340" t="s">
        <v>52</v>
      </c>
      <c r="E340">
        <v>44</v>
      </c>
      <c r="F340">
        <v>220</v>
      </c>
      <c r="G340">
        <v>9680</v>
      </c>
      <c r="H340" t="s">
        <v>53</v>
      </c>
      <c r="I340" t="s">
        <v>6</v>
      </c>
      <c r="J340" t="s">
        <v>59</v>
      </c>
      <c r="K340" t="s">
        <v>36</v>
      </c>
      <c r="L340">
        <f t="shared" si="10"/>
        <v>2025</v>
      </c>
      <c r="M340">
        <f t="shared" si="11"/>
        <v>4</v>
      </c>
    </row>
    <row r="341" spans="1:13" x14ac:dyDescent="0.25">
      <c r="A341" t="s">
        <v>425</v>
      </c>
      <c r="B341" s="16">
        <v>45752</v>
      </c>
      <c r="C341" t="s">
        <v>56</v>
      </c>
      <c r="D341" t="s">
        <v>57</v>
      </c>
      <c r="E341">
        <v>74</v>
      </c>
      <c r="F341">
        <v>300</v>
      </c>
      <c r="G341">
        <v>22200</v>
      </c>
      <c r="H341" t="s">
        <v>58</v>
      </c>
      <c r="I341" t="s">
        <v>17</v>
      </c>
      <c r="J341" t="s">
        <v>64</v>
      </c>
      <c r="K341" t="s">
        <v>35</v>
      </c>
      <c r="L341">
        <f t="shared" si="10"/>
        <v>2025</v>
      </c>
      <c r="M341">
        <f t="shared" si="11"/>
        <v>4</v>
      </c>
    </row>
    <row r="342" spans="1:13" x14ac:dyDescent="0.25">
      <c r="A342" t="s">
        <v>426</v>
      </c>
      <c r="B342" s="16">
        <v>45753</v>
      </c>
      <c r="C342" t="s">
        <v>61</v>
      </c>
      <c r="D342" t="s">
        <v>62</v>
      </c>
      <c r="E342">
        <v>69</v>
      </c>
      <c r="F342">
        <v>250</v>
      </c>
      <c r="G342">
        <v>17250</v>
      </c>
      <c r="H342" t="s">
        <v>63</v>
      </c>
      <c r="I342" t="s">
        <v>17</v>
      </c>
      <c r="J342" t="s">
        <v>69</v>
      </c>
      <c r="K342" t="s">
        <v>36</v>
      </c>
      <c r="L342">
        <f t="shared" si="10"/>
        <v>2025</v>
      </c>
      <c r="M342">
        <f t="shared" si="11"/>
        <v>4</v>
      </c>
    </row>
    <row r="343" spans="1:13" x14ac:dyDescent="0.25">
      <c r="A343" t="s">
        <v>427</v>
      </c>
      <c r="B343" s="16">
        <v>45754</v>
      </c>
      <c r="C343" t="s">
        <v>66</v>
      </c>
      <c r="D343" t="s">
        <v>67</v>
      </c>
      <c r="E343">
        <v>35</v>
      </c>
      <c r="F343">
        <v>450</v>
      </c>
      <c r="G343">
        <v>15750</v>
      </c>
      <c r="H343" t="s">
        <v>68</v>
      </c>
      <c r="I343" t="s">
        <v>19</v>
      </c>
      <c r="J343" t="s">
        <v>74</v>
      </c>
      <c r="K343" t="s">
        <v>34</v>
      </c>
      <c r="L343">
        <f t="shared" si="10"/>
        <v>2025</v>
      </c>
      <c r="M343">
        <f t="shared" si="11"/>
        <v>4</v>
      </c>
    </row>
    <row r="344" spans="1:13" x14ac:dyDescent="0.25">
      <c r="A344" t="s">
        <v>428</v>
      </c>
      <c r="B344" s="16">
        <v>45755</v>
      </c>
      <c r="C344" t="s">
        <v>97</v>
      </c>
      <c r="D344" t="s">
        <v>72</v>
      </c>
      <c r="E344">
        <v>66</v>
      </c>
      <c r="F344">
        <v>700</v>
      </c>
      <c r="G344">
        <v>46200</v>
      </c>
      <c r="H344" t="s">
        <v>73</v>
      </c>
      <c r="I344" t="s">
        <v>6</v>
      </c>
      <c r="J344" t="s">
        <v>95</v>
      </c>
      <c r="K344" t="s">
        <v>34</v>
      </c>
      <c r="L344">
        <f t="shared" si="10"/>
        <v>2025</v>
      </c>
      <c r="M344">
        <f t="shared" si="11"/>
        <v>4</v>
      </c>
    </row>
    <row r="345" spans="1:13" x14ac:dyDescent="0.25">
      <c r="A345" t="s">
        <v>429</v>
      </c>
      <c r="B345" s="16">
        <v>45756</v>
      </c>
      <c r="C345" t="s">
        <v>88</v>
      </c>
      <c r="D345" t="s">
        <v>52</v>
      </c>
      <c r="E345">
        <v>60</v>
      </c>
      <c r="F345">
        <v>220</v>
      </c>
      <c r="G345">
        <v>13200</v>
      </c>
      <c r="H345" t="s">
        <v>53</v>
      </c>
      <c r="I345" t="s">
        <v>6</v>
      </c>
      <c r="J345" t="s">
        <v>98</v>
      </c>
      <c r="K345" t="s">
        <v>33</v>
      </c>
      <c r="L345">
        <f t="shared" si="10"/>
        <v>2025</v>
      </c>
      <c r="M345">
        <f t="shared" si="11"/>
        <v>4</v>
      </c>
    </row>
    <row r="346" spans="1:13" x14ac:dyDescent="0.25">
      <c r="A346" t="s">
        <v>430</v>
      </c>
      <c r="B346" s="16">
        <v>45757</v>
      </c>
      <c r="C346" t="s">
        <v>91</v>
      </c>
      <c r="D346" t="s">
        <v>57</v>
      </c>
      <c r="E346">
        <v>31</v>
      </c>
      <c r="F346">
        <v>300</v>
      </c>
      <c r="G346">
        <v>9300</v>
      </c>
      <c r="H346" t="s">
        <v>58</v>
      </c>
      <c r="I346" t="s">
        <v>17</v>
      </c>
      <c r="J346" t="s">
        <v>54</v>
      </c>
      <c r="K346" t="s">
        <v>33</v>
      </c>
      <c r="L346">
        <f t="shared" si="10"/>
        <v>2025</v>
      </c>
      <c r="M346">
        <f t="shared" si="11"/>
        <v>4</v>
      </c>
    </row>
    <row r="347" spans="1:13" x14ac:dyDescent="0.25">
      <c r="A347" t="s">
        <v>431</v>
      </c>
      <c r="B347" s="16">
        <v>45758</v>
      </c>
      <c r="C347" t="s">
        <v>94</v>
      </c>
      <c r="D347" t="s">
        <v>62</v>
      </c>
      <c r="E347">
        <v>63</v>
      </c>
      <c r="F347">
        <v>250</v>
      </c>
      <c r="G347">
        <v>15750</v>
      </c>
      <c r="H347" t="s">
        <v>63</v>
      </c>
      <c r="I347" t="s">
        <v>17</v>
      </c>
      <c r="J347" t="s">
        <v>59</v>
      </c>
      <c r="K347" t="s">
        <v>36</v>
      </c>
      <c r="L347">
        <f t="shared" si="10"/>
        <v>2025</v>
      </c>
      <c r="M347">
        <f t="shared" si="11"/>
        <v>4</v>
      </c>
    </row>
    <row r="348" spans="1:13" x14ac:dyDescent="0.25">
      <c r="A348" t="s">
        <v>432</v>
      </c>
      <c r="B348" s="16">
        <v>45759</v>
      </c>
      <c r="C348" t="s">
        <v>51</v>
      </c>
      <c r="D348" t="s">
        <v>67</v>
      </c>
      <c r="E348">
        <v>73</v>
      </c>
      <c r="F348">
        <v>450</v>
      </c>
      <c r="G348">
        <v>32850</v>
      </c>
      <c r="H348" t="s">
        <v>68</v>
      </c>
      <c r="I348" t="s">
        <v>19</v>
      </c>
      <c r="J348" t="s">
        <v>64</v>
      </c>
      <c r="K348" t="s">
        <v>35</v>
      </c>
      <c r="L348">
        <f t="shared" si="10"/>
        <v>2025</v>
      </c>
      <c r="M348">
        <f t="shared" si="11"/>
        <v>4</v>
      </c>
    </row>
    <row r="349" spans="1:13" x14ac:dyDescent="0.25">
      <c r="A349" t="s">
        <v>433</v>
      </c>
      <c r="B349" s="16">
        <v>45760</v>
      </c>
      <c r="C349" t="s">
        <v>56</v>
      </c>
      <c r="D349" t="s">
        <v>72</v>
      </c>
      <c r="E349">
        <v>24</v>
      </c>
      <c r="F349">
        <v>700</v>
      </c>
      <c r="G349">
        <v>16800</v>
      </c>
      <c r="H349" t="s">
        <v>73</v>
      </c>
      <c r="I349" t="s">
        <v>6</v>
      </c>
      <c r="J349" t="s">
        <v>69</v>
      </c>
      <c r="K349" t="s">
        <v>36</v>
      </c>
      <c r="L349">
        <f t="shared" si="10"/>
        <v>2025</v>
      </c>
      <c r="M349">
        <f t="shared" si="11"/>
        <v>4</v>
      </c>
    </row>
    <row r="350" spans="1:13" x14ac:dyDescent="0.25">
      <c r="A350" t="s">
        <v>434</v>
      </c>
      <c r="B350" s="16">
        <v>45761</v>
      </c>
      <c r="C350" t="s">
        <v>61</v>
      </c>
      <c r="D350" t="s">
        <v>52</v>
      </c>
      <c r="E350">
        <v>80</v>
      </c>
      <c r="F350">
        <v>220</v>
      </c>
      <c r="G350">
        <v>17600</v>
      </c>
      <c r="H350" t="s">
        <v>53</v>
      </c>
      <c r="I350" t="s">
        <v>6</v>
      </c>
      <c r="J350" t="s">
        <v>74</v>
      </c>
      <c r="K350" t="s">
        <v>34</v>
      </c>
      <c r="L350">
        <f t="shared" si="10"/>
        <v>2025</v>
      </c>
      <c r="M350">
        <f t="shared" si="11"/>
        <v>4</v>
      </c>
    </row>
    <row r="351" spans="1:13" x14ac:dyDescent="0.25">
      <c r="A351" t="s">
        <v>435</v>
      </c>
      <c r="B351" s="16">
        <v>45762</v>
      </c>
      <c r="C351" t="s">
        <v>66</v>
      </c>
      <c r="D351" t="s">
        <v>57</v>
      </c>
      <c r="E351">
        <v>59</v>
      </c>
      <c r="F351">
        <v>300</v>
      </c>
      <c r="G351">
        <v>17700</v>
      </c>
      <c r="H351" t="s">
        <v>58</v>
      </c>
      <c r="I351" t="s">
        <v>17</v>
      </c>
      <c r="J351" t="s">
        <v>77</v>
      </c>
      <c r="K351" t="s">
        <v>36</v>
      </c>
      <c r="L351">
        <f t="shared" si="10"/>
        <v>2025</v>
      </c>
      <c r="M351">
        <f t="shared" si="11"/>
        <v>4</v>
      </c>
    </row>
    <row r="352" spans="1:13" x14ac:dyDescent="0.25">
      <c r="A352" t="s">
        <v>436</v>
      </c>
      <c r="B352" s="16">
        <v>45763</v>
      </c>
      <c r="C352" t="s">
        <v>71</v>
      </c>
      <c r="D352" t="s">
        <v>62</v>
      </c>
      <c r="E352">
        <v>63</v>
      </c>
      <c r="F352">
        <v>250</v>
      </c>
      <c r="G352">
        <v>15750</v>
      </c>
      <c r="H352" t="s">
        <v>63</v>
      </c>
      <c r="I352" t="s">
        <v>17</v>
      </c>
      <c r="J352" t="s">
        <v>80</v>
      </c>
      <c r="K352" t="s">
        <v>35</v>
      </c>
      <c r="L352">
        <f t="shared" si="10"/>
        <v>2025</v>
      </c>
      <c r="M352">
        <f t="shared" si="11"/>
        <v>4</v>
      </c>
    </row>
    <row r="353" spans="1:13" x14ac:dyDescent="0.25">
      <c r="A353" t="s">
        <v>437</v>
      </c>
      <c r="B353" s="16">
        <v>45764</v>
      </c>
      <c r="C353" t="s">
        <v>51</v>
      </c>
      <c r="D353" t="s">
        <v>67</v>
      </c>
      <c r="E353">
        <v>29</v>
      </c>
      <c r="F353">
        <v>450</v>
      </c>
      <c r="G353">
        <v>13050</v>
      </c>
      <c r="H353" t="s">
        <v>68</v>
      </c>
      <c r="I353" t="s">
        <v>19</v>
      </c>
      <c r="J353" t="s">
        <v>83</v>
      </c>
      <c r="K353" t="s">
        <v>33</v>
      </c>
      <c r="L353">
        <f t="shared" si="10"/>
        <v>2025</v>
      </c>
      <c r="M353">
        <f t="shared" si="11"/>
        <v>4</v>
      </c>
    </row>
    <row r="354" spans="1:13" x14ac:dyDescent="0.25">
      <c r="A354" t="s">
        <v>438</v>
      </c>
      <c r="B354" s="16">
        <v>45765</v>
      </c>
      <c r="C354" t="s">
        <v>56</v>
      </c>
      <c r="D354" t="s">
        <v>72</v>
      </c>
      <c r="E354">
        <v>28</v>
      </c>
      <c r="F354">
        <v>700</v>
      </c>
      <c r="G354">
        <v>19600</v>
      </c>
      <c r="H354" t="s">
        <v>73</v>
      </c>
      <c r="I354" t="s">
        <v>6</v>
      </c>
      <c r="J354" t="s">
        <v>86</v>
      </c>
      <c r="K354" t="s">
        <v>34</v>
      </c>
      <c r="L354">
        <f t="shared" si="10"/>
        <v>2025</v>
      </c>
      <c r="M354">
        <f t="shared" si="11"/>
        <v>4</v>
      </c>
    </row>
    <row r="355" spans="1:13" x14ac:dyDescent="0.25">
      <c r="A355" t="s">
        <v>439</v>
      </c>
      <c r="B355" s="16">
        <v>45766</v>
      </c>
      <c r="C355" t="s">
        <v>61</v>
      </c>
      <c r="D355" t="s">
        <v>52</v>
      </c>
      <c r="E355">
        <v>77</v>
      </c>
      <c r="F355">
        <v>220</v>
      </c>
      <c r="G355">
        <v>16940</v>
      </c>
      <c r="H355" t="s">
        <v>53</v>
      </c>
      <c r="I355" t="s">
        <v>6</v>
      </c>
      <c r="J355" t="s">
        <v>89</v>
      </c>
      <c r="K355" t="s">
        <v>34</v>
      </c>
      <c r="L355">
        <f t="shared" si="10"/>
        <v>2025</v>
      </c>
      <c r="M355">
        <f t="shared" si="11"/>
        <v>4</v>
      </c>
    </row>
    <row r="356" spans="1:13" x14ac:dyDescent="0.25">
      <c r="A356" t="s">
        <v>440</v>
      </c>
      <c r="B356" s="16">
        <v>45767</v>
      </c>
      <c r="C356" t="s">
        <v>91</v>
      </c>
      <c r="D356" t="s">
        <v>57</v>
      </c>
      <c r="E356">
        <v>70</v>
      </c>
      <c r="F356">
        <v>300</v>
      </c>
      <c r="G356">
        <v>21000</v>
      </c>
      <c r="H356" t="s">
        <v>58</v>
      </c>
      <c r="I356" t="s">
        <v>17</v>
      </c>
      <c r="J356" t="s">
        <v>92</v>
      </c>
      <c r="K356" t="s">
        <v>34</v>
      </c>
      <c r="L356">
        <f t="shared" si="10"/>
        <v>2025</v>
      </c>
      <c r="M356">
        <f t="shared" si="11"/>
        <v>4</v>
      </c>
    </row>
    <row r="357" spans="1:13" x14ac:dyDescent="0.25">
      <c r="A357" t="s">
        <v>441</v>
      </c>
      <c r="B357" s="16">
        <v>45768</v>
      </c>
      <c r="C357" t="s">
        <v>94</v>
      </c>
      <c r="D357" t="s">
        <v>62</v>
      </c>
      <c r="E357">
        <v>36</v>
      </c>
      <c r="F357">
        <v>250</v>
      </c>
      <c r="G357">
        <v>9000</v>
      </c>
      <c r="H357" t="s">
        <v>63</v>
      </c>
      <c r="I357" t="s">
        <v>17</v>
      </c>
      <c r="J357" t="s">
        <v>95</v>
      </c>
      <c r="K357" t="s">
        <v>34</v>
      </c>
      <c r="L357">
        <f t="shared" si="10"/>
        <v>2025</v>
      </c>
      <c r="M357">
        <f t="shared" si="11"/>
        <v>4</v>
      </c>
    </row>
    <row r="358" spans="1:13" x14ac:dyDescent="0.25">
      <c r="A358" t="s">
        <v>442</v>
      </c>
      <c r="B358" s="16">
        <v>45769</v>
      </c>
      <c r="C358" t="s">
        <v>97</v>
      </c>
      <c r="D358" t="s">
        <v>67</v>
      </c>
      <c r="E358">
        <v>72</v>
      </c>
      <c r="F358">
        <v>450</v>
      </c>
      <c r="G358">
        <v>32400</v>
      </c>
      <c r="H358" t="s">
        <v>68</v>
      </c>
      <c r="I358" t="s">
        <v>19</v>
      </c>
      <c r="J358" t="s">
        <v>89</v>
      </c>
      <c r="K358" t="s">
        <v>34</v>
      </c>
      <c r="L358">
        <f t="shared" si="10"/>
        <v>2025</v>
      </c>
      <c r="M358">
        <f t="shared" si="11"/>
        <v>4</v>
      </c>
    </row>
    <row r="359" spans="1:13" x14ac:dyDescent="0.25">
      <c r="A359" t="s">
        <v>443</v>
      </c>
      <c r="B359" s="16">
        <v>45770</v>
      </c>
      <c r="C359" t="s">
        <v>85</v>
      </c>
      <c r="D359" t="s">
        <v>72</v>
      </c>
      <c r="E359">
        <v>37</v>
      </c>
      <c r="F359">
        <v>700</v>
      </c>
      <c r="G359">
        <v>25900</v>
      </c>
      <c r="H359" t="s">
        <v>73</v>
      </c>
      <c r="I359" t="s">
        <v>6</v>
      </c>
      <c r="J359" t="s">
        <v>92</v>
      </c>
      <c r="K359" t="s">
        <v>34</v>
      </c>
      <c r="L359">
        <f t="shared" si="10"/>
        <v>2025</v>
      </c>
      <c r="M359">
        <f t="shared" si="11"/>
        <v>4</v>
      </c>
    </row>
    <row r="360" spans="1:13" x14ac:dyDescent="0.25">
      <c r="A360" t="s">
        <v>444</v>
      </c>
      <c r="B360" s="16">
        <v>45771</v>
      </c>
      <c r="C360" t="s">
        <v>88</v>
      </c>
      <c r="D360" t="s">
        <v>52</v>
      </c>
      <c r="E360">
        <v>40</v>
      </c>
      <c r="F360">
        <v>220</v>
      </c>
      <c r="G360">
        <v>8800</v>
      </c>
      <c r="H360" t="s">
        <v>53</v>
      </c>
      <c r="I360" t="s">
        <v>6</v>
      </c>
      <c r="J360" t="s">
        <v>95</v>
      </c>
      <c r="K360" t="s">
        <v>34</v>
      </c>
      <c r="L360">
        <f t="shared" si="10"/>
        <v>2025</v>
      </c>
      <c r="M360">
        <f t="shared" si="11"/>
        <v>4</v>
      </c>
    </row>
    <row r="361" spans="1:13" x14ac:dyDescent="0.25">
      <c r="A361" t="s">
        <v>445</v>
      </c>
      <c r="B361" s="16">
        <v>45772</v>
      </c>
      <c r="C361" t="s">
        <v>91</v>
      </c>
      <c r="D361" t="s">
        <v>57</v>
      </c>
      <c r="E361">
        <v>72</v>
      </c>
      <c r="F361">
        <v>300</v>
      </c>
      <c r="G361">
        <v>21600</v>
      </c>
      <c r="H361" t="s">
        <v>58</v>
      </c>
      <c r="I361" t="s">
        <v>17</v>
      </c>
      <c r="J361" t="s">
        <v>54</v>
      </c>
      <c r="K361" t="s">
        <v>33</v>
      </c>
      <c r="L361">
        <f t="shared" si="10"/>
        <v>2025</v>
      </c>
      <c r="M361">
        <f t="shared" si="11"/>
        <v>4</v>
      </c>
    </row>
    <row r="362" spans="1:13" x14ac:dyDescent="0.25">
      <c r="A362" t="s">
        <v>446</v>
      </c>
      <c r="B362" s="16">
        <v>45773</v>
      </c>
      <c r="C362" t="s">
        <v>94</v>
      </c>
      <c r="D362" t="s">
        <v>62</v>
      </c>
      <c r="E362">
        <v>45</v>
      </c>
      <c r="F362">
        <v>250</v>
      </c>
      <c r="G362">
        <v>11250</v>
      </c>
      <c r="H362" t="s">
        <v>63</v>
      </c>
      <c r="I362" t="s">
        <v>17</v>
      </c>
      <c r="J362" t="s">
        <v>59</v>
      </c>
      <c r="K362" t="s">
        <v>36</v>
      </c>
      <c r="L362">
        <f t="shared" si="10"/>
        <v>2025</v>
      </c>
      <c r="M362">
        <f t="shared" si="11"/>
        <v>4</v>
      </c>
    </row>
    <row r="363" spans="1:13" x14ac:dyDescent="0.25">
      <c r="A363" t="s">
        <v>447</v>
      </c>
      <c r="B363" s="16">
        <v>45774</v>
      </c>
      <c r="C363" t="s">
        <v>51</v>
      </c>
      <c r="D363" t="s">
        <v>67</v>
      </c>
      <c r="E363">
        <v>27</v>
      </c>
      <c r="F363">
        <v>450</v>
      </c>
      <c r="G363">
        <v>12150</v>
      </c>
      <c r="H363" t="s">
        <v>68</v>
      </c>
      <c r="I363" t="s">
        <v>19</v>
      </c>
      <c r="J363" t="s">
        <v>64</v>
      </c>
      <c r="K363" t="s">
        <v>35</v>
      </c>
      <c r="L363">
        <f t="shared" si="10"/>
        <v>2025</v>
      </c>
      <c r="M363">
        <f t="shared" si="11"/>
        <v>4</v>
      </c>
    </row>
    <row r="364" spans="1:13" x14ac:dyDescent="0.25">
      <c r="A364" t="s">
        <v>448</v>
      </c>
      <c r="B364" s="16">
        <v>45775</v>
      </c>
      <c r="C364" t="s">
        <v>56</v>
      </c>
      <c r="D364" t="s">
        <v>72</v>
      </c>
      <c r="E364">
        <v>49</v>
      </c>
      <c r="F364">
        <v>700</v>
      </c>
      <c r="G364">
        <v>34300</v>
      </c>
      <c r="H364" t="s">
        <v>73</v>
      </c>
      <c r="I364" t="s">
        <v>6</v>
      </c>
      <c r="J364" t="s">
        <v>69</v>
      </c>
      <c r="K364" t="s">
        <v>36</v>
      </c>
      <c r="L364">
        <f t="shared" si="10"/>
        <v>2025</v>
      </c>
      <c r="M364">
        <f t="shared" si="11"/>
        <v>4</v>
      </c>
    </row>
    <row r="365" spans="1:13" x14ac:dyDescent="0.25">
      <c r="A365" t="s">
        <v>449</v>
      </c>
      <c r="B365" s="16">
        <v>45776</v>
      </c>
      <c r="C365" t="s">
        <v>61</v>
      </c>
      <c r="D365" t="s">
        <v>52</v>
      </c>
      <c r="E365">
        <v>20</v>
      </c>
      <c r="F365">
        <v>220</v>
      </c>
      <c r="G365">
        <v>4400</v>
      </c>
      <c r="H365" t="s">
        <v>53</v>
      </c>
      <c r="I365" t="s">
        <v>6</v>
      </c>
      <c r="J365" t="s">
        <v>74</v>
      </c>
      <c r="K365" t="s">
        <v>34</v>
      </c>
      <c r="L365">
        <f t="shared" si="10"/>
        <v>2025</v>
      </c>
      <c r="M365">
        <f t="shared" si="11"/>
        <v>4</v>
      </c>
    </row>
    <row r="366" spans="1:13" x14ac:dyDescent="0.25">
      <c r="A366" t="s">
        <v>450</v>
      </c>
      <c r="B366" s="16">
        <v>45777</v>
      </c>
      <c r="C366" t="s">
        <v>66</v>
      </c>
      <c r="D366" t="s">
        <v>57</v>
      </c>
      <c r="E366">
        <v>70</v>
      </c>
      <c r="F366">
        <v>300</v>
      </c>
      <c r="G366">
        <v>21000</v>
      </c>
      <c r="H366" t="s">
        <v>58</v>
      </c>
      <c r="I366" t="s">
        <v>17</v>
      </c>
      <c r="J366" t="s">
        <v>54</v>
      </c>
      <c r="K366" t="s">
        <v>33</v>
      </c>
      <c r="L366">
        <f t="shared" si="10"/>
        <v>2025</v>
      </c>
      <c r="M366">
        <f t="shared" si="11"/>
        <v>4</v>
      </c>
    </row>
    <row r="367" spans="1:13" x14ac:dyDescent="0.25">
      <c r="A367" t="s">
        <v>451</v>
      </c>
      <c r="B367" s="16">
        <v>45778</v>
      </c>
      <c r="C367" t="s">
        <v>97</v>
      </c>
      <c r="D367" t="s">
        <v>62</v>
      </c>
      <c r="E367">
        <v>72</v>
      </c>
      <c r="F367">
        <v>250</v>
      </c>
      <c r="G367">
        <v>18000</v>
      </c>
      <c r="H367" t="s">
        <v>63</v>
      </c>
      <c r="I367" t="s">
        <v>17</v>
      </c>
      <c r="J367" t="s">
        <v>59</v>
      </c>
      <c r="K367" t="s">
        <v>36</v>
      </c>
      <c r="L367">
        <f t="shared" si="10"/>
        <v>2025</v>
      </c>
      <c r="M367">
        <f t="shared" si="11"/>
        <v>5</v>
      </c>
    </row>
    <row r="368" spans="1:13" x14ac:dyDescent="0.25">
      <c r="A368" t="s">
        <v>452</v>
      </c>
      <c r="B368" s="16">
        <v>45779</v>
      </c>
      <c r="C368" t="s">
        <v>51</v>
      </c>
      <c r="D368" t="s">
        <v>67</v>
      </c>
      <c r="E368">
        <v>39</v>
      </c>
      <c r="F368">
        <v>450</v>
      </c>
      <c r="G368">
        <v>17550</v>
      </c>
      <c r="H368" t="s">
        <v>68</v>
      </c>
      <c r="I368" t="s">
        <v>19</v>
      </c>
      <c r="J368" t="s">
        <v>64</v>
      </c>
      <c r="K368" t="s">
        <v>35</v>
      </c>
      <c r="L368">
        <f t="shared" si="10"/>
        <v>2025</v>
      </c>
      <c r="M368">
        <f t="shared" si="11"/>
        <v>5</v>
      </c>
    </row>
    <row r="369" spans="1:13" x14ac:dyDescent="0.25">
      <c r="A369" t="s">
        <v>453</v>
      </c>
      <c r="B369" s="16">
        <v>45780</v>
      </c>
      <c r="C369" t="s">
        <v>56</v>
      </c>
      <c r="D369" t="s">
        <v>72</v>
      </c>
      <c r="E369">
        <v>41</v>
      </c>
      <c r="F369">
        <v>700</v>
      </c>
      <c r="G369">
        <v>28700</v>
      </c>
      <c r="H369" t="s">
        <v>73</v>
      </c>
      <c r="I369" t="s">
        <v>6</v>
      </c>
      <c r="J369" t="s">
        <v>92</v>
      </c>
      <c r="K369" t="s">
        <v>34</v>
      </c>
      <c r="L369">
        <f t="shared" si="10"/>
        <v>2025</v>
      </c>
      <c r="M369">
        <f t="shared" si="11"/>
        <v>5</v>
      </c>
    </row>
    <row r="370" spans="1:13" x14ac:dyDescent="0.25">
      <c r="A370" t="s">
        <v>454</v>
      </c>
      <c r="B370" s="16">
        <v>45781</v>
      </c>
      <c r="C370" t="s">
        <v>61</v>
      </c>
      <c r="D370" t="s">
        <v>52</v>
      </c>
      <c r="E370">
        <v>51</v>
      </c>
      <c r="F370">
        <v>220</v>
      </c>
      <c r="G370">
        <v>11220</v>
      </c>
      <c r="H370" t="s">
        <v>53</v>
      </c>
      <c r="I370" t="s">
        <v>6</v>
      </c>
      <c r="J370" t="s">
        <v>95</v>
      </c>
      <c r="K370" t="s">
        <v>34</v>
      </c>
      <c r="L370">
        <f t="shared" si="10"/>
        <v>2025</v>
      </c>
      <c r="M370">
        <f t="shared" si="11"/>
        <v>5</v>
      </c>
    </row>
    <row r="371" spans="1:13" x14ac:dyDescent="0.25">
      <c r="A371" t="s">
        <v>455</v>
      </c>
      <c r="B371" s="16">
        <v>45782</v>
      </c>
      <c r="C371" t="s">
        <v>91</v>
      </c>
      <c r="D371" t="s">
        <v>57</v>
      </c>
      <c r="E371">
        <v>50</v>
      </c>
      <c r="F371">
        <v>300</v>
      </c>
      <c r="G371">
        <v>15000</v>
      </c>
      <c r="H371" t="s">
        <v>58</v>
      </c>
      <c r="I371" t="s">
        <v>17</v>
      </c>
      <c r="J371" t="s">
        <v>98</v>
      </c>
      <c r="K371" t="s">
        <v>33</v>
      </c>
      <c r="L371">
        <f t="shared" si="10"/>
        <v>2025</v>
      </c>
      <c r="M371">
        <f t="shared" si="11"/>
        <v>5</v>
      </c>
    </row>
    <row r="372" spans="1:13" x14ac:dyDescent="0.25">
      <c r="A372" t="s">
        <v>456</v>
      </c>
      <c r="B372" s="16">
        <v>45783</v>
      </c>
      <c r="C372" t="s">
        <v>94</v>
      </c>
      <c r="D372" t="s">
        <v>62</v>
      </c>
      <c r="E372">
        <v>69</v>
      </c>
      <c r="F372">
        <v>250</v>
      </c>
      <c r="G372">
        <v>17250</v>
      </c>
      <c r="H372" t="s">
        <v>63</v>
      </c>
      <c r="I372" t="s">
        <v>17</v>
      </c>
      <c r="J372" t="s">
        <v>86</v>
      </c>
      <c r="K372" t="s">
        <v>34</v>
      </c>
      <c r="L372">
        <f t="shared" si="10"/>
        <v>2025</v>
      </c>
      <c r="M372">
        <f t="shared" si="11"/>
        <v>5</v>
      </c>
    </row>
    <row r="373" spans="1:13" x14ac:dyDescent="0.25">
      <c r="A373" t="s">
        <v>457</v>
      </c>
      <c r="B373" s="16">
        <v>45784</v>
      </c>
      <c r="C373" t="s">
        <v>97</v>
      </c>
      <c r="D373" t="s">
        <v>67</v>
      </c>
      <c r="E373">
        <v>49</v>
      </c>
      <c r="F373">
        <v>450</v>
      </c>
      <c r="G373">
        <v>22050</v>
      </c>
      <c r="H373" t="s">
        <v>68</v>
      </c>
      <c r="I373" t="s">
        <v>19</v>
      </c>
      <c r="J373" t="s">
        <v>89</v>
      </c>
      <c r="K373" t="s">
        <v>34</v>
      </c>
      <c r="L373">
        <f t="shared" si="10"/>
        <v>2025</v>
      </c>
      <c r="M373">
        <f t="shared" si="11"/>
        <v>5</v>
      </c>
    </row>
    <row r="374" spans="1:13" x14ac:dyDescent="0.25">
      <c r="A374" t="s">
        <v>458</v>
      </c>
      <c r="G374">
        <f>SUBTOTAL(109,Tabla1[MONTO COMPRA])</f>
        <v>7084460</v>
      </c>
      <c r="K374">
        <f>SUBTOTAL(103,Tabla1[REGION])</f>
        <v>372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9.140625" defaultRowHeight="15" customHeight="1" x14ac:dyDescent="0.25"/>
  <sheetData>
    <row r="1" spans="1:5" x14ac:dyDescent="0.25">
      <c r="A1" s="11" t="s">
        <v>48</v>
      </c>
      <c r="B1" s="11" t="s">
        <v>459</v>
      </c>
      <c r="C1" s="11" t="s">
        <v>49</v>
      </c>
      <c r="D1" s="11" t="s">
        <v>460</v>
      </c>
      <c r="E1" s="11" t="s">
        <v>41</v>
      </c>
    </row>
    <row r="2" spans="1:5" x14ac:dyDescent="0.25">
      <c r="A2">
        <v>2025</v>
      </c>
      <c r="B2">
        <v>1</v>
      </c>
      <c r="C2" t="s">
        <v>16</v>
      </c>
      <c r="D2">
        <v>492310</v>
      </c>
      <c r="E2">
        <v>1328</v>
      </c>
    </row>
    <row r="3" spans="1:5" x14ac:dyDescent="0.25">
      <c r="A3">
        <v>2025</v>
      </c>
      <c r="B3">
        <v>2</v>
      </c>
      <c r="C3" t="s">
        <v>18</v>
      </c>
      <c r="D3">
        <v>530360</v>
      </c>
      <c r="E3">
        <v>1345</v>
      </c>
    </row>
    <row r="4" spans="1:5" x14ac:dyDescent="0.25">
      <c r="A4">
        <v>2025</v>
      </c>
      <c r="B4">
        <v>3</v>
      </c>
      <c r="C4" t="s">
        <v>20</v>
      </c>
      <c r="D4">
        <v>551730</v>
      </c>
      <c r="E4">
        <v>1411</v>
      </c>
    </row>
    <row r="5" spans="1:5" x14ac:dyDescent="0.25">
      <c r="A5">
        <v>2025</v>
      </c>
      <c r="B5">
        <v>4</v>
      </c>
      <c r="C5" t="s">
        <v>21</v>
      </c>
      <c r="D5">
        <v>572970</v>
      </c>
      <c r="E5">
        <v>1567</v>
      </c>
    </row>
    <row r="6" spans="1:5" x14ac:dyDescent="0.25">
      <c r="A6">
        <v>2025</v>
      </c>
      <c r="B6">
        <v>5</v>
      </c>
      <c r="C6" t="s">
        <v>22</v>
      </c>
      <c r="D6">
        <v>129770</v>
      </c>
      <c r="E6">
        <v>371</v>
      </c>
    </row>
    <row r="7" spans="1:5" x14ac:dyDescent="0.25">
      <c r="A7">
        <v>2025</v>
      </c>
      <c r="B7">
        <v>6</v>
      </c>
      <c r="C7" t="s">
        <v>23</v>
      </c>
      <c r="D7">
        <v>0</v>
      </c>
      <c r="E7">
        <v>0</v>
      </c>
    </row>
    <row r="8" spans="1:5" x14ac:dyDescent="0.25">
      <c r="A8">
        <v>2025</v>
      </c>
      <c r="B8">
        <v>7</v>
      </c>
      <c r="C8" t="s">
        <v>24</v>
      </c>
      <c r="D8">
        <v>0</v>
      </c>
      <c r="E8">
        <v>0</v>
      </c>
    </row>
    <row r="9" spans="1:5" x14ac:dyDescent="0.25">
      <c r="A9">
        <v>2025</v>
      </c>
      <c r="B9">
        <v>8</v>
      </c>
      <c r="C9" t="s">
        <v>25</v>
      </c>
      <c r="D9">
        <v>0</v>
      </c>
      <c r="E9">
        <v>0</v>
      </c>
    </row>
    <row r="10" spans="1:5" x14ac:dyDescent="0.25">
      <c r="A10">
        <v>2025</v>
      </c>
      <c r="B10">
        <v>9</v>
      </c>
      <c r="C10" t="s">
        <v>26</v>
      </c>
      <c r="D10">
        <v>0</v>
      </c>
      <c r="E10">
        <v>0</v>
      </c>
    </row>
    <row r="11" spans="1:5" x14ac:dyDescent="0.25">
      <c r="A11">
        <v>2025</v>
      </c>
      <c r="B11">
        <v>10</v>
      </c>
      <c r="C11" t="s">
        <v>27</v>
      </c>
      <c r="D11">
        <v>0</v>
      </c>
      <c r="E11">
        <v>0</v>
      </c>
    </row>
    <row r="12" spans="1:5" x14ac:dyDescent="0.25">
      <c r="A12">
        <v>2025</v>
      </c>
      <c r="B12">
        <v>11</v>
      </c>
      <c r="C12" t="s">
        <v>28</v>
      </c>
      <c r="D12">
        <v>0</v>
      </c>
      <c r="E12">
        <v>0</v>
      </c>
    </row>
    <row r="13" spans="1:5" x14ac:dyDescent="0.25">
      <c r="A13">
        <v>2025</v>
      </c>
      <c r="B13">
        <v>12</v>
      </c>
      <c r="C13" t="s">
        <v>29</v>
      </c>
      <c r="D13">
        <v>0</v>
      </c>
      <c r="E13">
        <v>0</v>
      </c>
    </row>
    <row r="14" spans="1:5" x14ac:dyDescent="0.25">
      <c r="A14">
        <v>2026</v>
      </c>
      <c r="B14">
        <v>1</v>
      </c>
      <c r="C14" t="s">
        <v>16</v>
      </c>
      <c r="D14">
        <v>610350</v>
      </c>
      <c r="E14">
        <v>1583</v>
      </c>
    </row>
    <row r="15" spans="1:5" x14ac:dyDescent="0.25">
      <c r="A15">
        <v>2026</v>
      </c>
      <c r="B15">
        <v>2</v>
      </c>
      <c r="C15" t="s">
        <v>18</v>
      </c>
      <c r="D15">
        <v>606820</v>
      </c>
      <c r="E15">
        <v>1540</v>
      </c>
    </row>
    <row r="16" spans="1:5" x14ac:dyDescent="0.25">
      <c r="A16">
        <v>2026</v>
      </c>
      <c r="B16">
        <v>3</v>
      </c>
      <c r="C16" t="s">
        <v>20</v>
      </c>
      <c r="D16">
        <v>533330</v>
      </c>
      <c r="E16">
        <v>1422</v>
      </c>
    </row>
    <row r="17" spans="1:5" x14ac:dyDescent="0.25">
      <c r="A17">
        <v>2026</v>
      </c>
      <c r="B17">
        <v>4</v>
      </c>
      <c r="C17" t="s">
        <v>21</v>
      </c>
      <c r="D17">
        <v>591630</v>
      </c>
      <c r="E17">
        <v>1480</v>
      </c>
    </row>
    <row r="18" spans="1:5" x14ac:dyDescent="0.25">
      <c r="A18">
        <v>2026</v>
      </c>
      <c r="B18">
        <v>5</v>
      </c>
      <c r="C18" t="s">
        <v>22</v>
      </c>
      <c r="D18">
        <v>615060</v>
      </c>
      <c r="E18">
        <v>1593</v>
      </c>
    </row>
    <row r="19" spans="1:5" x14ac:dyDescent="0.25">
      <c r="A19">
        <v>2026</v>
      </c>
      <c r="B19">
        <v>6</v>
      </c>
      <c r="C19" t="s">
        <v>23</v>
      </c>
      <c r="D19">
        <v>631710</v>
      </c>
      <c r="E19">
        <v>1638</v>
      </c>
    </row>
    <row r="20" spans="1:5" x14ac:dyDescent="0.25">
      <c r="A20">
        <v>2026</v>
      </c>
      <c r="B20">
        <v>7</v>
      </c>
      <c r="C20" t="s">
        <v>24</v>
      </c>
      <c r="D20">
        <v>551570</v>
      </c>
      <c r="E20">
        <v>1441</v>
      </c>
    </row>
    <row r="21" spans="1:5" x14ac:dyDescent="0.25">
      <c r="A21">
        <v>2026</v>
      </c>
      <c r="B21">
        <v>8</v>
      </c>
      <c r="C21" t="s">
        <v>25</v>
      </c>
      <c r="D21">
        <v>666850</v>
      </c>
      <c r="E21">
        <v>1748</v>
      </c>
    </row>
    <row r="22" spans="1:5" x14ac:dyDescent="0.25">
      <c r="A22">
        <v>2026</v>
      </c>
      <c r="B22">
        <v>9</v>
      </c>
      <c r="C22" t="s">
        <v>26</v>
      </c>
      <c r="D22">
        <v>0</v>
      </c>
      <c r="E22">
        <v>0</v>
      </c>
    </row>
    <row r="23" spans="1:5" x14ac:dyDescent="0.25">
      <c r="A23">
        <v>2026</v>
      </c>
      <c r="B23">
        <v>10</v>
      </c>
      <c r="C23" t="s">
        <v>27</v>
      </c>
      <c r="D23">
        <v>0</v>
      </c>
      <c r="E23">
        <v>0</v>
      </c>
    </row>
    <row r="24" spans="1:5" x14ac:dyDescent="0.25">
      <c r="A24">
        <v>2026</v>
      </c>
      <c r="B24">
        <v>11</v>
      </c>
      <c r="C24" t="s">
        <v>28</v>
      </c>
      <c r="D24">
        <v>0</v>
      </c>
      <c r="E24">
        <v>0</v>
      </c>
    </row>
    <row r="25" spans="1:5" x14ac:dyDescent="0.25">
      <c r="A25">
        <v>2026</v>
      </c>
      <c r="B25">
        <v>12</v>
      </c>
      <c r="C25" t="s">
        <v>29</v>
      </c>
      <c r="D25">
        <v>0</v>
      </c>
      <c r="E2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9.140625" defaultRowHeight="15" customHeight="1" x14ac:dyDescent="0.25"/>
  <sheetData>
    <row r="1" spans="1:4" x14ac:dyDescent="0.25">
      <c r="A1" s="11" t="s">
        <v>48</v>
      </c>
      <c r="B1" s="11" t="s">
        <v>45</v>
      </c>
      <c r="C1" s="11" t="s">
        <v>460</v>
      </c>
      <c r="D1" s="11" t="s">
        <v>41</v>
      </c>
    </row>
    <row r="2" spans="1:4" x14ac:dyDescent="0.25">
      <c r="A2">
        <v>2025</v>
      </c>
      <c r="B2" t="s">
        <v>17</v>
      </c>
      <c r="C2">
        <v>705150</v>
      </c>
      <c r="D2">
        <v>2553</v>
      </c>
    </row>
    <row r="3" spans="1:4" x14ac:dyDescent="0.25">
      <c r="A3">
        <v>2025</v>
      </c>
      <c r="B3" t="s">
        <v>19</v>
      </c>
      <c r="C3">
        <v>550350</v>
      </c>
      <c r="D3">
        <v>1223</v>
      </c>
    </row>
    <row r="4" spans="1:4" x14ac:dyDescent="0.25">
      <c r="A4">
        <v>2025</v>
      </c>
      <c r="B4" t="s">
        <v>6</v>
      </c>
      <c r="C4">
        <v>1021640</v>
      </c>
      <c r="D4">
        <v>2246</v>
      </c>
    </row>
    <row r="5" spans="1:4" x14ac:dyDescent="0.25">
      <c r="A5">
        <v>2026</v>
      </c>
      <c r="B5" t="s">
        <v>17</v>
      </c>
      <c r="C5">
        <v>1319400</v>
      </c>
      <c r="D5">
        <v>4810</v>
      </c>
    </row>
    <row r="6" spans="1:4" x14ac:dyDescent="0.25">
      <c r="A6">
        <v>2026</v>
      </c>
      <c r="B6" t="s">
        <v>19</v>
      </c>
      <c r="C6">
        <v>1163700</v>
      </c>
      <c r="D6">
        <v>2586</v>
      </c>
    </row>
    <row r="7" spans="1:4" x14ac:dyDescent="0.25">
      <c r="A7">
        <v>2026</v>
      </c>
      <c r="B7" t="s">
        <v>6</v>
      </c>
      <c r="C7">
        <v>2324220</v>
      </c>
      <c r="D7">
        <v>5049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9.140625" defaultRowHeight="15" customHeight="1" x14ac:dyDescent="0.25"/>
  <sheetData>
    <row r="1" spans="1:4" x14ac:dyDescent="0.25">
      <c r="A1" s="11" t="s">
        <v>48</v>
      </c>
      <c r="B1" s="11" t="s">
        <v>47</v>
      </c>
      <c r="C1" s="11" t="s">
        <v>460</v>
      </c>
      <c r="D1" s="11" t="s">
        <v>41</v>
      </c>
    </row>
    <row r="2" spans="1:4" x14ac:dyDescent="0.25">
      <c r="A2">
        <v>2025</v>
      </c>
      <c r="B2" t="s">
        <v>33</v>
      </c>
      <c r="C2">
        <v>397650</v>
      </c>
      <c r="D2">
        <v>1210</v>
      </c>
    </row>
    <row r="3" spans="1:4" x14ac:dyDescent="0.25">
      <c r="A3">
        <v>2025</v>
      </c>
      <c r="B3" t="s">
        <v>34</v>
      </c>
      <c r="C3">
        <v>1038990</v>
      </c>
      <c r="D3">
        <v>2528</v>
      </c>
    </row>
    <row r="4" spans="1:4" x14ac:dyDescent="0.25">
      <c r="A4">
        <v>2025</v>
      </c>
      <c r="B4" t="s">
        <v>35</v>
      </c>
      <c r="C4">
        <v>312450</v>
      </c>
      <c r="D4">
        <v>923</v>
      </c>
    </row>
    <row r="5" spans="1:4" x14ac:dyDescent="0.25">
      <c r="A5">
        <v>2025</v>
      </c>
      <c r="B5" t="s">
        <v>36</v>
      </c>
      <c r="C5">
        <v>528050</v>
      </c>
      <c r="D5">
        <v>1361</v>
      </c>
    </row>
    <row r="6" spans="1:4" x14ac:dyDescent="0.25">
      <c r="A6">
        <v>2026</v>
      </c>
      <c r="B6" t="s">
        <v>33</v>
      </c>
      <c r="C6">
        <v>1042010</v>
      </c>
      <c r="D6">
        <v>3045</v>
      </c>
    </row>
    <row r="7" spans="1:4" x14ac:dyDescent="0.25">
      <c r="A7">
        <v>2026</v>
      </c>
      <c r="B7" t="s">
        <v>34</v>
      </c>
      <c r="C7">
        <v>2196900</v>
      </c>
      <c r="D7">
        <v>5171</v>
      </c>
    </row>
    <row r="8" spans="1:4" x14ac:dyDescent="0.25">
      <c r="A8">
        <v>2026</v>
      </c>
      <c r="B8" t="s">
        <v>35</v>
      </c>
      <c r="C8">
        <v>526760</v>
      </c>
      <c r="D8">
        <v>1727</v>
      </c>
    </row>
    <row r="9" spans="1:4" x14ac:dyDescent="0.25">
      <c r="A9">
        <v>2026</v>
      </c>
      <c r="B9" t="s">
        <v>36</v>
      </c>
      <c r="C9">
        <v>1041650</v>
      </c>
      <c r="D9">
        <v>2502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7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9.140625" defaultRowHeight="15" customHeight="1" x14ac:dyDescent="0.25"/>
  <sheetData>
    <row r="1" spans="1:3" x14ac:dyDescent="0.25">
      <c r="A1" s="11" t="s">
        <v>41</v>
      </c>
      <c r="B1" s="11" t="s">
        <v>460</v>
      </c>
      <c r="C1" s="11" t="s">
        <v>37</v>
      </c>
    </row>
    <row r="2" spans="1:3" x14ac:dyDescent="0.25">
      <c r="A2">
        <v>73</v>
      </c>
      <c r="B2">
        <v>16060</v>
      </c>
      <c r="C2" t="s">
        <v>50</v>
      </c>
    </row>
    <row r="3" spans="1:3" x14ac:dyDescent="0.25">
      <c r="A3">
        <v>65</v>
      </c>
      <c r="B3">
        <v>19500</v>
      </c>
      <c r="C3" t="s">
        <v>55</v>
      </c>
    </row>
    <row r="4" spans="1:3" x14ac:dyDescent="0.25">
      <c r="A4">
        <v>23</v>
      </c>
      <c r="B4">
        <v>5750</v>
      </c>
      <c r="C4" t="s">
        <v>60</v>
      </c>
    </row>
    <row r="5" spans="1:3" x14ac:dyDescent="0.25">
      <c r="A5">
        <v>59</v>
      </c>
      <c r="B5">
        <v>26550</v>
      </c>
      <c r="C5" t="s">
        <v>65</v>
      </c>
    </row>
    <row r="6" spans="1:3" x14ac:dyDescent="0.25">
      <c r="A6">
        <v>30</v>
      </c>
      <c r="B6">
        <v>21000</v>
      </c>
      <c r="C6" t="s">
        <v>70</v>
      </c>
    </row>
    <row r="7" spans="1:3" x14ac:dyDescent="0.25">
      <c r="A7">
        <v>65</v>
      </c>
      <c r="B7">
        <v>14300</v>
      </c>
      <c r="C7" t="s">
        <v>75</v>
      </c>
    </row>
    <row r="8" spans="1:3" x14ac:dyDescent="0.25">
      <c r="A8">
        <v>62</v>
      </c>
      <c r="B8">
        <v>18600</v>
      </c>
      <c r="C8" t="s">
        <v>78</v>
      </c>
    </row>
    <row r="9" spans="1:3" x14ac:dyDescent="0.25">
      <c r="A9">
        <v>66</v>
      </c>
      <c r="B9">
        <v>16500</v>
      </c>
      <c r="C9" t="s">
        <v>81</v>
      </c>
    </row>
    <row r="10" spans="1:3" x14ac:dyDescent="0.25">
      <c r="A10">
        <v>60</v>
      </c>
      <c r="B10">
        <v>27000</v>
      </c>
      <c r="C10" t="s">
        <v>84</v>
      </c>
    </row>
    <row r="11" spans="1:3" x14ac:dyDescent="0.25">
      <c r="A11">
        <v>44</v>
      </c>
      <c r="B11">
        <v>30800</v>
      </c>
      <c r="C11" t="s">
        <v>87</v>
      </c>
    </row>
    <row r="12" spans="1:3" x14ac:dyDescent="0.25">
      <c r="A12">
        <v>31</v>
      </c>
      <c r="B12">
        <v>6820</v>
      </c>
      <c r="C12" t="s">
        <v>90</v>
      </c>
    </row>
    <row r="13" spans="1:3" x14ac:dyDescent="0.25">
      <c r="A13">
        <v>35</v>
      </c>
      <c r="B13">
        <v>10500</v>
      </c>
      <c r="C13" t="s">
        <v>93</v>
      </c>
    </row>
    <row r="14" spans="1:3" x14ac:dyDescent="0.25">
      <c r="A14">
        <v>66</v>
      </c>
      <c r="B14">
        <v>16500</v>
      </c>
      <c r="C14" t="s">
        <v>96</v>
      </c>
    </row>
    <row r="15" spans="1:3" x14ac:dyDescent="0.25">
      <c r="A15">
        <v>57</v>
      </c>
      <c r="B15">
        <v>25650</v>
      </c>
      <c r="C15" t="s">
        <v>99</v>
      </c>
    </row>
    <row r="16" spans="1:3" x14ac:dyDescent="0.25">
      <c r="A16">
        <v>74</v>
      </c>
      <c r="B16">
        <v>51800</v>
      </c>
      <c r="C16" t="s">
        <v>100</v>
      </c>
    </row>
    <row r="17" spans="1:3" x14ac:dyDescent="0.25">
      <c r="A17">
        <v>64</v>
      </c>
      <c r="B17">
        <v>14080</v>
      </c>
      <c r="C17" t="s">
        <v>101</v>
      </c>
    </row>
    <row r="18" spans="1:3" x14ac:dyDescent="0.25">
      <c r="A18">
        <v>32</v>
      </c>
      <c r="B18">
        <v>9600</v>
      </c>
      <c r="C18" t="s">
        <v>102</v>
      </c>
    </row>
    <row r="19" spans="1:3" x14ac:dyDescent="0.25">
      <c r="A19">
        <v>28</v>
      </c>
      <c r="B19">
        <v>7000</v>
      </c>
      <c r="C19" t="s">
        <v>103</v>
      </c>
    </row>
    <row r="20" spans="1:3" x14ac:dyDescent="0.25">
      <c r="A20">
        <v>33</v>
      </c>
      <c r="B20">
        <v>14850</v>
      </c>
      <c r="C20" t="s">
        <v>104</v>
      </c>
    </row>
    <row r="21" spans="1:3" x14ac:dyDescent="0.25">
      <c r="A21">
        <v>65</v>
      </c>
      <c r="B21">
        <v>45500</v>
      </c>
      <c r="C21" t="s">
        <v>105</v>
      </c>
    </row>
    <row r="22" spans="1:3" x14ac:dyDescent="0.25">
      <c r="A22">
        <v>20</v>
      </c>
      <c r="B22">
        <v>4400</v>
      </c>
      <c r="C22" t="s">
        <v>106</v>
      </c>
    </row>
    <row r="23" spans="1:3" x14ac:dyDescent="0.25">
      <c r="A23">
        <v>62</v>
      </c>
      <c r="B23">
        <v>18600</v>
      </c>
      <c r="C23" t="s">
        <v>107</v>
      </c>
    </row>
    <row r="24" spans="1:3" x14ac:dyDescent="0.25">
      <c r="A24">
        <v>47</v>
      </c>
      <c r="B24">
        <v>11750</v>
      </c>
      <c r="C24" t="s">
        <v>108</v>
      </c>
    </row>
    <row r="25" spans="1:3" x14ac:dyDescent="0.25">
      <c r="A25">
        <v>76</v>
      </c>
      <c r="B25">
        <v>34200</v>
      </c>
      <c r="C25" t="s">
        <v>109</v>
      </c>
    </row>
    <row r="26" spans="1:3" x14ac:dyDescent="0.25">
      <c r="A26">
        <v>43</v>
      </c>
      <c r="B26">
        <v>30100</v>
      </c>
      <c r="C26" t="s">
        <v>110</v>
      </c>
    </row>
    <row r="27" spans="1:3" x14ac:dyDescent="0.25">
      <c r="A27">
        <v>53</v>
      </c>
      <c r="B27">
        <v>11660</v>
      </c>
      <c r="C27" t="s">
        <v>111</v>
      </c>
    </row>
    <row r="28" spans="1:3" x14ac:dyDescent="0.25">
      <c r="A28">
        <v>20</v>
      </c>
      <c r="B28">
        <v>6000</v>
      </c>
      <c r="C28" t="s">
        <v>112</v>
      </c>
    </row>
    <row r="29" spans="1:3" x14ac:dyDescent="0.25">
      <c r="A29">
        <v>57</v>
      </c>
      <c r="B29">
        <v>14250</v>
      </c>
      <c r="C29" t="s">
        <v>113</v>
      </c>
    </row>
    <row r="30" spans="1:3" x14ac:dyDescent="0.25">
      <c r="A30">
        <v>60</v>
      </c>
      <c r="B30">
        <v>27000</v>
      </c>
      <c r="C30" t="s">
        <v>114</v>
      </c>
    </row>
    <row r="31" spans="1:3" x14ac:dyDescent="0.25">
      <c r="A31">
        <v>66</v>
      </c>
      <c r="B31">
        <v>46200</v>
      </c>
      <c r="C31" t="s">
        <v>115</v>
      </c>
    </row>
    <row r="32" spans="1:3" x14ac:dyDescent="0.25">
      <c r="A32">
        <v>57</v>
      </c>
      <c r="B32">
        <v>12540</v>
      </c>
      <c r="C32" t="s">
        <v>116</v>
      </c>
    </row>
    <row r="33" spans="1:3" x14ac:dyDescent="0.25">
      <c r="A33">
        <v>42</v>
      </c>
      <c r="B33">
        <v>12600</v>
      </c>
      <c r="C33" t="s">
        <v>117</v>
      </c>
    </row>
    <row r="34" spans="1:3" x14ac:dyDescent="0.25">
      <c r="A34">
        <v>38</v>
      </c>
      <c r="B34">
        <v>9500</v>
      </c>
      <c r="C34" t="s">
        <v>118</v>
      </c>
    </row>
    <row r="35" spans="1:3" x14ac:dyDescent="0.25">
      <c r="A35">
        <v>55</v>
      </c>
      <c r="B35">
        <v>24750</v>
      </c>
      <c r="C35" t="s">
        <v>119</v>
      </c>
    </row>
    <row r="36" spans="1:3" x14ac:dyDescent="0.25">
      <c r="A36">
        <v>51</v>
      </c>
      <c r="B36">
        <v>35700</v>
      </c>
      <c r="C36" t="s">
        <v>120</v>
      </c>
    </row>
    <row r="37" spans="1:3" x14ac:dyDescent="0.25">
      <c r="A37">
        <v>73</v>
      </c>
      <c r="B37">
        <v>16060</v>
      </c>
      <c r="C37" t="s">
        <v>121</v>
      </c>
    </row>
    <row r="38" spans="1:3" x14ac:dyDescent="0.25">
      <c r="A38">
        <v>34</v>
      </c>
      <c r="B38">
        <v>10200</v>
      </c>
      <c r="C38" t="s">
        <v>122</v>
      </c>
    </row>
    <row r="39" spans="1:3" x14ac:dyDescent="0.25">
      <c r="A39">
        <v>61</v>
      </c>
      <c r="B39">
        <v>15250</v>
      </c>
      <c r="C39" t="s">
        <v>123</v>
      </c>
    </row>
    <row r="40" spans="1:3" x14ac:dyDescent="0.25">
      <c r="A40">
        <v>44</v>
      </c>
      <c r="B40">
        <v>19800</v>
      </c>
      <c r="C40" t="s">
        <v>124</v>
      </c>
    </row>
    <row r="41" spans="1:3" x14ac:dyDescent="0.25">
      <c r="A41">
        <v>52</v>
      </c>
      <c r="B41">
        <v>36400</v>
      </c>
      <c r="C41" t="s">
        <v>125</v>
      </c>
    </row>
    <row r="42" spans="1:3" x14ac:dyDescent="0.25">
      <c r="A42">
        <v>79</v>
      </c>
      <c r="B42">
        <v>17380</v>
      </c>
      <c r="C42" t="s">
        <v>126</v>
      </c>
    </row>
    <row r="43" spans="1:3" x14ac:dyDescent="0.25">
      <c r="A43">
        <v>39</v>
      </c>
      <c r="B43">
        <v>11700</v>
      </c>
      <c r="C43" t="s">
        <v>127</v>
      </c>
    </row>
    <row r="44" spans="1:3" x14ac:dyDescent="0.25">
      <c r="A44">
        <v>73</v>
      </c>
      <c r="B44">
        <v>18250</v>
      </c>
      <c r="C44" t="s">
        <v>128</v>
      </c>
    </row>
    <row r="45" spans="1:3" x14ac:dyDescent="0.25">
      <c r="A45">
        <v>55</v>
      </c>
      <c r="B45">
        <v>24750</v>
      </c>
      <c r="C45" t="s">
        <v>129</v>
      </c>
    </row>
    <row r="46" spans="1:3" x14ac:dyDescent="0.25">
      <c r="A46">
        <v>66</v>
      </c>
      <c r="B46">
        <v>46200</v>
      </c>
      <c r="C46" t="s">
        <v>130</v>
      </c>
    </row>
    <row r="47" spans="1:3" x14ac:dyDescent="0.25">
      <c r="A47">
        <v>45</v>
      </c>
      <c r="B47">
        <v>9900</v>
      </c>
      <c r="C47" t="s">
        <v>131</v>
      </c>
    </row>
    <row r="48" spans="1:3" x14ac:dyDescent="0.25">
      <c r="A48">
        <v>57</v>
      </c>
      <c r="B48">
        <v>17100</v>
      </c>
      <c r="C48" t="s">
        <v>132</v>
      </c>
    </row>
    <row r="49" spans="1:3" x14ac:dyDescent="0.25">
      <c r="A49">
        <v>74</v>
      </c>
      <c r="B49">
        <v>18500</v>
      </c>
      <c r="C49" t="s">
        <v>133</v>
      </c>
    </row>
    <row r="50" spans="1:3" x14ac:dyDescent="0.25">
      <c r="A50">
        <v>43</v>
      </c>
      <c r="B50">
        <v>19350</v>
      </c>
      <c r="C50" t="s">
        <v>134</v>
      </c>
    </row>
    <row r="51" spans="1:3" x14ac:dyDescent="0.25">
      <c r="A51">
        <v>77</v>
      </c>
      <c r="B51">
        <v>53900</v>
      </c>
      <c r="C51" t="s">
        <v>135</v>
      </c>
    </row>
    <row r="52" spans="1:3" x14ac:dyDescent="0.25">
      <c r="A52">
        <v>67</v>
      </c>
      <c r="B52">
        <v>14740</v>
      </c>
      <c r="C52" t="s">
        <v>136</v>
      </c>
    </row>
    <row r="53" spans="1:3" x14ac:dyDescent="0.25">
      <c r="A53">
        <v>28</v>
      </c>
      <c r="B53">
        <v>8400</v>
      </c>
      <c r="C53" t="s">
        <v>137</v>
      </c>
    </row>
    <row r="54" spans="1:3" x14ac:dyDescent="0.25">
      <c r="A54">
        <v>47</v>
      </c>
      <c r="B54">
        <v>11750</v>
      </c>
      <c r="C54" t="s">
        <v>138</v>
      </c>
    </row>
    <row r="55" spans="1:3" x14ac:dyDescent="0.25">
      <c r="A55">
        <v>30</v>
      </c>
      <c r="B55">
        <v>13500</v>
      </c>
      <c r="C55" t="s">
        <v>139</v>
      </c>
    </row>
    <row r="56" spans="1:3" x14ac:dyDescent="0.25">
      <c r="A56">
        <v>38</v>
      </c>
      <c r="B56">
        <v>26600</v>
      </c>
      <c r="C56" t="s">
        <v>140</v>
      </c>
    </row>
    <row r="57" spans="1:3" x14ac:dyDescent="0.25">
      <c r="A57">
        <v>50</v>
      </c>
      <c r="B57">
        <v>11000</v>
      </c>
      <c r="C57" t="s">
        <v>141</v>
      </c>
    </row>
    <row r="58" spans="1:3" x14ac:dyDescent="0.25">
      <c r="A58">
        <v>24</v>
      </c>
      <c r="B58">
        <v>7200</v>
      </c>
      <c r="C58" t="s">
        <v>142</v>
      </c>
    </row>
    <row r="59" spans="1:3" x14ac:dyDescent="0.25">
      <c r="A59">
        <v>64</v>
      </c>
      <c r="B59">
        <v>16000</v>
      </c>
      <c r="C59" t="s">
        <v>143</v>
      </c>
    </row>
    <row r="60" spans="1:3" x14ac:dyDescent="0.25">
      <c r="A60">
        <v>77</v>
      </c>
      <c r="B60">
        <v>34650</v>
      </c>
      <c r="C60" t="s">
        <v>144</v>
      </c>
    </row>
    <row r="61" spans="1:3" x14ac:dyDescent="0.25">
      <c r="A61">
        <v>76</v>
      </c>
      <c r="B61">
        <v>53200</v>
      </c>
      <c r="C61" t="s">
        <v>145</v>
      </c>
    </row>
    <row r="62" spans="1:3" x14ac:dyDescent="0.25">
      <c r="A62">
        <v>79</v>
      </c>
      <c r="B62">
        <v>17380</v>
      </c>
      <c r="C62" t="s">
        <v>146</v>
      </c>
    </row>
    <row r="63" spans="1:3" x14ac:dyDescent="0.25">
      <c r="A63">
        <v>32</v>
      </c>
      <c r="B63">
        <v>9600</v>
      </c>
      <c r="C63" t="s">
        <v>147</v>
      </c>
    </row>
    <row r="64" spans="1:3" x14ac:dyDescent="0.25">
      <c r="A64">
        <v>44</v>
      </c>
      <c r="B64">
        <v>11000</v>
      </c>
      <c r="C64" t="s">
        <v>148</v>
      </c>
    </row>
    <row r="65" spans="1:3" x14ac:dyDescent="0.25">
      <c r="A65">
        <v>70</v>
      </c>
      <c r="B65">
        <v>31500</v>
      </c>
      <c r="C65" t="s">
        <v>149</v>
      </c>
    </row>
    <row r="66" spans="1:3" x14ac:dyDescent="0.25">
      <c r="A66">
        <v>59</v>
      </c>
      <c r="B66">
        <v>41300</v>
      </c>
      <c r="C66" t="s">
        <v>150</v>
      </c>
    </row>
    <row r="67" spans="1:3" x14ac:dyDescent="0.25">
      <c r="A67">
        <v>55</v>
      </c>
      <c r="B67">
        <v>12100</v>
      </c>
      <c r="C67" t="s">
        <v>151</v>
      </c>
    </row>
    <row r="68" spans="1:3" x14ac:dyDescent="0.25">
      <c r="A68">
        <v>54</v>
      </c>
      <c r="B68">
        <v>16200</v>
      </c>
      <c r="C68" t="s">
        <v>152</v>
      </c>
    </row>
    <row r="69" spans="1:3" x14ac:dyDescent="0.25">
      <c r="A69">
        <v>70</v>
      </c>
      <c r="B69">
        <v>17500</v>
      </c>
      <c r="C69" t="s">
        <v>153</v>
      </c>
    </row>
    <row r="70" spans="1:3" x14ac:dyDescent="0.25">
      <c r="A70">
        <v>59</v>
      </c>
      <c r="B70">
        <v>26550</v>
      </c>
      <c r="C70" t="s">
        <v>154</v>
      </c>
    </row>
    <row r="71" spans="1:3" x14ac:dyDescent="0.25">
      <c r="A71">
        <v>23</v>
      </c>
      <c r="B71">
        <v>16100</v>
      </c>
      <c r="C71" t="s">
        <v>155</v>
      </c>
    </row>
    <row r="72" spans="1:3" x14ac:dyDescent="0.25">
      <c r="A72">
        <v>71</v>
      </c>
      <c r="B72">
        <v>15620</v>
      </c>
      <c r="C72" t="s">
        <v>156</v>
      </c>
    </row>
    <row r="73" spans="1:3" x14ac:dyDescent="0.25">
      <c r="A73">
        <v>77</v>
      </c>
      <c r="B73">
        <v>23100</v>
      </c>
      <c r="C73" t="s">
        <v>157</v>
      </c>
    </row>
    <row r="74" spans="1:3" x14ac:dyDescent="0.25">
      <c r="A74">
        <v>23</v>
      </c>
      <c r="B74">
        <v>5750</v>
      </c>
      <c r="C74" t="s">
        <v>158</v>
      </c>
    </row>
    <row r="75" spans="1:3" x14ac:dyDescent="0.25">
      <c r="A75">
        <v>71</v>
      </c>
      <c r="B75">
        <v>31950</v>
      </c>
      <c r="C75" t="s">
        <v>159</v>
      </c>
    </row>
    <row r="76" spans="1:3" x14ac:dyDescent="0.25">
      <c r="A76">
        <v>53</v>
      </c>
      <c r="B76">
        <v>37100</v>
      </c>
      <c r="C76" t="s">
        <v>160</v>
      </c>
    </row>
    <row r="77" spans="1:3" x14ac:dyDescent="0.25">
      <c r="A77">
        <v>38</v>
      </c>
      <c r="B77">
        <v>8360</v>
      </c>
      <c r="C77" t="s">
        <v>161</v>
      </c>
    </row>
    <row r="78" spans="1:3" x14ac:dyDescent="0.25">
      <c r="A78">
        <v>66</v>
      </c>
      <c r="B78">
        <v>19800</v>
      </c>
      <c r="C78" t="s">
        <v>162</v>
      </c>
    </row>
    <row r="79" spans="1:3" x14ac:dyDescent="0.25">
      <c r="A79">
        <v>50</v>
      </c>
      <c r="B79">
        <v>12500</v>
      </c>
      <c r="C79" t="s">
        <v>163</v>
      </c>
    </row>
    <row r="80" spans="1:3" x14ac:dyDescent="0.25">
      <c r="A80">
        <v>36</v>
      </c>
      <c r="B80">
        <v>16200</v>
      </c>
      <c r="C80" t="s">
        <v>164</v>
      </c>
    </row>
    <row r="81" spans="1:3" x14ac:dyDescent="0.25">
      <c r="A81">
        <v>27</v>
      </c>
      <c r="B81">
        <v>18900</v>
      </c>
      <c r="C81" t="s">
        <v>165</v>
      </c>
    </row>
    <row r="82" spans="1:3" x14ac:dyDescent="0.25">
      <c r="A82">
        <v>40</v>
      </c>
      <c r="B82">
        <v>8800</v>
      </c>
      <c r="C82" t="s">
        <v>166</v>
      </c>
    </row>
    <row r="83" spans="1:3" x14ac:dyDescent="0.25">
      <c r="A83">
        <v>66</v>
      </c>
      <c r="B83">
        <v>19800</v>
      </c>
      <c r="C83" t="s">
        <v>167</v>
      </c>
    </row>
    <row r="84" spans="1:3" x14ac:dyDescent="0.25">
      <c r="A84">
        <v>36</v>
      </c>
      <c r="B84">
        <v>9000</v>
      </c>
      <c r="C84" t="s">
        <v>168</v>
      </c>
    </row>
    <row r="85" spans="1:3" x14ac:dyDescent="0.25">
      <c r="A85">
        <v>54</v>
      </c>
      <c r="B85">
        <v>24300</v>
      </c>
      <c r="C85" t="s">
        <v>169</v>
      </c>
    </row>
    <row r="86" spans="1:3" x14ac:dyDescent="0.25">
      <c r="A86">
        <v>43</v>
      </c>
      <c r="B86">
        <v>30100</v>
      </c>
      <c r="C86" t="s">
        <v>170</v>
      </c>
    </row>
    <row r="87" spans="1:3" x14ac:dyDescent="0.25">
      <c r="A87">
        <v>21</v>
      </c>
      <c r="B87">
        <v>4620</v>
      </c>
      <c r="C87" t="s">
        <v>171</v>
      </c>
    </row>
    <row r="88" spans="1:3" x14ac:dyDescent="0.25">
      <c r="A88">
        <v>30</v>
      </c>
      <c r="B88">
        <v>9000</v>
      </c>
      <c r="C88" t="s">
        <v>172</v>
      </c>
    </row>
    <row r="89" spans="1:3" x14ac:dyDescent="0.25">
      <c r="A89">
        <v>22</v>
      </c>
      <c r="B89">
        <v>5500</v>
      </c>
      <c r="C89" t="s">
        <v>173</v>
      </c>
    </row>
    <row r="90" spans="1:3" x14ac:dyDescent="0.25">
      <c r="A90">
        <v>46</v>
      </c>
      <c r="B90">
        <v>20700</v>
      </c>
      <c r="C90" t="s">
        <v>174</v>
      </c>
    </row>
    <row r="91" spans="1:3" x14ac:dyDescent="0.25">
      <c r="A91">
        <v>47</v>
      </c>
      <c r="B91">
        <v>32900</v>
      </c>
      <c r="C91" t="s">
        <v>175</v>
      </c>
    </row>
    <row r="92" spans="1:3" x14ac:dyDescent="0.25">
      <c r="A92">
        <v>21</v>
      </c>
      <c r="B92">
        <v>4620</v>
      </c>
      <c r="C92" t="s">
        <v>176</v>
      </c>
    </row>
    <row r="93" spans="1:3" x14ac:dyDescent="0.25">
      <c r="A93">
        <v>37</v>
      </c>
      <c r="B93">
        <v>11100</v>
      </c>
      <c r="C93" t="s">
        <v>177</v>
      </c>
    </row>
    <row r="94" spans="1:3" x14ac:dyDescent="0.25">
      <c r="A94">
        <v>43</v>
      </c>
      <c r="B94">
        <v>10750</v>
      </c>
      <c r="C94" t="s">
        <v>178</v>
      </c>
    </row>
    <row r="95" spans="1:3" x14ac:dyDescent="0.25">
      <c r="A95">
        <v>25</v>
      </c>
      <c r="B95">
        <v>11250</v>
      </c>
      <c r="C95" t="s">
        <v>179</v>
      </c>
    </row>
    <row r="96" spans="1:3" x14ac:dyDescent="0.25">
      <c r="A96">
        <v>24</v>
      </c>
      <c r="B96">
        <v>16800</v>
      </c>
      <c r="C96" t="s">
        <v>180</v>
      </c>
    </row>
    <row r="97" spans="1:3" x14ac:dyDescent="0.25">
      <c r="A97">
        <v>38</v>
      </c>
      <c r="B97">
        <v>8360</v>
      </c>
      <c r="C97" t="s">
        <v>181</v>
      </c>
    </row>
    <row r="98" spans="1:3" x14ac:dyDescent="0.25">
      <c r="A98">
        <v>27</v>
      </c>
      <c r="B98">
        <v>8100</v>
      </c>
      <c r="C98" t="s">
        <v>182</v>
      </c>
    </row>
    <row r="99" spans="1:3" x14ac:dyDescent="0.25">
      <c r="A99">
        <v>51</v>
      </c>
      <c r="B99">
        <v>12750</v>
      </c>
      <c r="C99" t="s">
        <v>183</v>
      </c>
    </row>
    <row r="100" spans="1:3" x14ac:dyDescent="0.25">
      <c r="A100">
        <v>34</v>
      </c>
      <c r="B100">
        <v>15300</v>
      </c>
      <c r="C100" t="s">
        <v>184</v>
      </c>
    </row>
    <row r="101" spans="1:3" x14ac:dyDescent="0.25">
      <c r="A101">
        <v>66</v>
      </c>
      <c r="B101">
        <v>46200</v>
      </c>
      <c r="C101" t="s">
        <v>185</v>
      </c>
    </row>
    <row r="102" spans="1:3" x14ac:dyDescent="0.25">
      <c r="A102">
        <v>79</v>
      </c>
      <c r="B102">
        <v>23700</v>
      </c>
      <c r="C102" t="s">
        <v>186</v>
      </c>
    </row>
    <row r="103" spans="1:3" x14ac:dyDescent="0.25">
      <c r="A103">
        <v>78</v>
      </c>
      <c r="B103">
        <v>19500</v>
      </c>
      <c r="C103" t="s">
        <v>187</v>
      </c>
    </row>
    <row r="104" spans="1:3" x14ac:dyDescent="0.25">
      <c r="A104">
        <v>62</v>
      </c>
      <c r="B104">
        <v>27900</v>
      </c>
      <c r="C104" t="s">
        <v>188</v>
      </c>
    </row>
    <row r="105" spans="1:3" x14ac:dyDescent="0.25">
      <c r="A105">
        <v>70</v>
      </c>
      <c r="B105">
        <v>49000</v>
      </c>
      <c r="C105" t="s">
        <v>189</v>
      </c>
    </row>
    <row r="106" spans="1:3" x14ac:dyDescent="0.25">
      <c r="A106">
        <v>80</v>
      </c>
      <c r="B106">
        <v>17600</v>
      </c>
      <c r="C106" t="s">
        <v>190</v>
      </c>
    </row>
    <row r="107" spans="1:3" x14ac:dyDescent="0.25">
      <c r="A107">
        <v>79</v>
      </c>
      <c r="B107">
        <v>23700</v>
      </c>
      <c r="C107" t="s">
        <v>191</v>
      </c>
    </row>
    <row r="108" spans="1:3" x14ac:dyDescent="0.25">
      <c r="A108">
        <v>39</v>
      </c>
      <c r="B108">
        <v>9750</v>
      </c>
      <c r="C108" t="s">
        <v>192</v>
      </c>
    </row>
    <row r="109" spans="1:3" x14ac:dyDescent="0.25">
      <c r="A109">
        <v>71</v>
      </c>
      <c r="B109">
        <v>31950</v>
      </c>
      <c r="C109" t="s">
        <v>193</v>
      </c>
    </row>
    <row r="110" spans="1:3" x14ac:dyDescent="0.25">
      <c r="A110">
        <v>57</v>
      </c>
      <c r="B110">
        <v>39900</v>
      </c>
      <c r="C110" t="s">
        <v>194</v>
      </c>
    </row>
    <row r="111" spans="1:3" x14ac:dyDescent="0.25">
      <c r="A111">
        <v>79</v>
      </c>
      <c r="B111">
        <v>17380</v>
      </c>
      <c r="C111" t="s">
        <v>195</v>
      </c>
    </row>
    <row r="112" spans="1:3" x14ac:dyDescent="0.25">
      <c r="A112">
        <v>79</v>
      </c>
      <c r="B112">
        <v>23700</v>
      </c>
      <c r="C112" t="s">
        <v>196</v>
      </c>
    </row>
    <row r="113" spans="1:3" x14ac:dyDescent="0.25">
      <c r="A113">
        <v>67</v>
      </c>
      <c r="B113">
        <v>16750</v>
      </c>
      <c r="C113" t="s">
        <v>197</v>
      </c>
    </row>
    <row r="114" spans="1:3" x14ac:dyDescent="0.25">
      <c r="A114">
        <v>61</v>
      </c>
      <c r="B114">
        <v>27450</v>
      </c>
      <c r="C114" t="s">
        <v>198</v>
      </c>
    </row>
    <row r="115" spans="1:3" x14ac:dyDescent="0.25">
      <c r="A115">
        <v>47</v>
      </c>
      <c r="B115">
        <v>32900</v>
      </c>
      <c r="C115" t="s">
        <v>199</v>
      </c>
    </row>
    <row r="116" spans="1:3" x14ac:dyDescent="0.25">
      <c r="A116">
        <v>45</v>
      </c>
      <c r="B116">
        <v>9900</v>
      </c>
      <c r="C116" t="s">
        <v>200</v>
      </c>
    </row>
    <row r="117" spans="1:3" x14ac:dyDescent="0.25">
      <c r="A117">
        <v>60</v>
      </c>
      <c r="B117">
        <v>18000</v>
      </c>
      <c r="C117" t="s">
        <v>201</v>
      </c>
    </row>
    <row r="118" spans="1:3" x14ac:dyDescent="0.25">
      <c r="A118">
        <v>46</v>
      </c>
      <c r="B118">
        <v>11500</v>
      </c>
      <c r="C118" t="s">
        <v>202</v>
      </c>
    </row>
    <row r="119" spans="1:3" x14ac:dyDescent="0.25">
      <c r="A119">
        <v>29</v>
      </c>
      <c r="B119">
        <v>13050</v>
      </c>
      <c r="C119" t="s">
        <v>203</v>
      </c>
    </row>
    <row r="120" spans="1:3" x14ac:dyDescent="0.25">
      <c r="A120">
        <v>68</v>
      </c>
      <c r="B120">
        <v>47600</v>
      </c>
      <c r="C120" t="s">
        <v>204</v>
      </c>
    </row>
    <row r="121" spans="1:3" x14ac:dyDescent="0.25">
      <c r="A121">
        <v>73</v>
      </c>
      <c r="B121">
        <v>16060</v>
      </c>
      <c r="C121" t="s">
        <v>205</v>
      </c>
    </row>
    <row r="122" spans="1:3" x14ac:dyDescent="0.25">
      <c r="A122">
        <v>54</v>
      </c>
      <c r="B122">
        <v>16200</v>
      </c>
      <c r="C122" t="s">
        <v>206</v>
      </c>
    </row>
    <row r="123" spans="1:3" x14ac:dyDescent="0.25">
      <c r="A123">
        <v>44</v>
      </c>
      <c r="B123">
        <v>11000</v>
      </c>
      <c r="C123" t="s">
        <v>207</v>
      </c>
    </row>
    <row r="124" spans="1:3" x14ac:dyDescent="0.25">
      <c r="A124">
        <v>73</v>
      </c>
      <c r="B124">
        <v>32850</v>
      </c>
      <c r="C124" t="s">
        <v>208</v>
      </c>
    </row>
    <row r="125" spans="1:3" x14ac:dyDescent="0.25">
      <c r="A125">
        <v>51</v>
      </c>
      <c r="B125">
        <v>35700</v>
      </c>
      <c r="C125" t="s">
        <v>209</v>
      </c>
    </row>
    <row r="126" spans="1:3" x14ac:dyDescent="0.25">
      <c r="A126">
        <v>22</v>
      </c>
      <c r="B126">
        <v>4840</v>
      </c>
      <c r="C126" t="s">
        <v>210</v>
      </c>
    </row>
    <row r="127" spans="1:3" x14ac:dyDescent="0.25">
      <c r="A127">
        <v>38</v>
      </c>
      <c r="B127">
        <v>11400</v>
      </c>
      <c r="C127" t="s">
        <v>211</v>
      </c>
    </row>
    <row r="128" spans="1:3" x14ac:dyDescent="0.25">
      <c r="A128">
        <v>28</v>
      </c>
      <c r="B128">
        <v>7000</v>
      </c>
      <c r="C128" t="s">
        <v>212</v>
      </c>
    </row>
    <row r="129" spans="1:3" x14ac:dyDescent="0.25">
      <c r="A129">
        <v>54</v>
      </c>
      <c r="B129">
        <v>24300</v>
      </c>
      <c r="C129" t="s">
        <v>213</v>
      </c>
    </row>
    <row r="130" spans="1:3" x14ac:dyDescent="0.25">
      <c r="A130">
        <v>33</v>
      </c>
      <c r="B130">
        <v>23100</v>
      </c>
      <c r="C130" t="s">
        <v>214</v>
      </c>
    </row>
    <row r="131" spans="1:3" x14ac:dyDescent="0.25">
      <c r="A131">
        <v>77</v>
      </c>
      <c r="B131">
        <v>16940</v>
      </c>
      <c r="C131" t="s">
        <v>215</v>
      </c>
    </row>
    <row r="132" spans="1:3" x14ac:dyDescent="0.25">
      <c r="A132">
        <v>20</v>
      </c>
      <c r="B132">
        <v>6000</v>
      </c>
      <c r="C132" t="s">
        <v>216</v>
      </c>
    </row>
    <row r="133" spans="1:3" x14ac:dyDescent="0.25">
      <c r="A133">
        <v>62</v>
      </c>
      <c r="B133">
        <v>15500</v>
      </c>
      <c r="C133" t="s">
        <v>217</v>
      </c>
    </row>
    <row r="134" spans="1:3" x14ac:dyDescent="0.25">
      <c r="A134">
        <v>45</v>
      </c>
      <c r="B134">
        <v>20250</v>
      </c>
      <c r="C134" t="s">
        <v>218</v>
      </c>
    </row>
    <row r="135" spans="1:3" x14ac:dyDescent="0.25">
      <c r="A135">
        <v>27</v>
      </c>
      <c r="B135">
        <v>18900</v>
      </c>
      <c r="C135" t="s">
        <v>219</v>
      </c>
    </row>
    <row r="136" spans="1:3" x14ac:dyDescent="0.25">
      <c r="A136">
        <v>47</v>
      </c>
      <c r="B136">
        <v>10340</v>
      </c>
      <c r="C136" t="s">
        <v>220</v>
      </c>
    </row>
    <row r="137" spans="1:3" x14ac:dyDescent="0.25">
      <c r="A137">
        <v>50</v>
      </c>
      <c r="B137">
        <v>15000</v>
      </c>
      <c r="C137" t="s">
        <v>221</v>
      </c>
    </row>
    <row r="138" spans="1:3" x14ac:dyDescent="0.25">
      <c r="A138">
        <v>50</v>
      </c>
      <c r="B138">
        <v>12500</v>
      </c>
      <c r="C138" t="s">
        <v>222</v>
      </c>
    </row>
    <row r="139" spans="1:3" x14ac:dyDescent="0.25">
      <c r="A139">
        <v>79</v>
      </c>
      <c r="B139">
        <v>35550</v>
      </c>
      <c r="C139" t="s">
        <v>223</v>
      </c>
    </row>
    <row r="140" spans="1:3" x14ac:dyDescent="0.25">
      <c r="A140">
        <v>68</v>
      </c>
      <c r="B140">
        <v>47600</v>
      </c>
      <c r="C140" t="s">
        <v>224</v>
      </c>
    </row>
    <row r="141" spans="1:3" x14ac:dyDescent="0.25">
      <c r="A141">
        <v>60</v>
      </c>
      <c r="B141">
        <v>13200</v>
      </c>
      <c r="C141" t="s">
        <v>225</v>
      </c>
    </row>
    <row r="142" spans="1:3" x14ac:dyDescent="0.25">
      <c r="A142">
        <v>62</v>
      </c>
      <c r="B142">
        <v>18600</v>
      </c>
      <c r="C142" t="s">
        <v>226</v>
      </c>
    </row>
    <row r="143" spans="1:3" x14ac:dyDescent="0.25">
      <c r="A143">
        <v>23</v>
      </c>
      <c r="B143">
        <v>5750</v>
      </c>
      <c r="C143" t="s">
        <v>227</v>
      </c>
    </row>
    <row r="144" spans="1:3" x14ac:dyDescent="0.25">
      <c r="A144">
        <v>49</v>
      </c>
      <c r="B144">
        <v>22050</v>
      </c>
      <c r="C144" t="s">
        <v>228</v>
      </c>
    </row>
    <row r="145" spans="1:3" x14ac:dyDescent="0.25">
      <c r="A145">
        <v>29</v>
      </c>
      <c r="B145">
        <v>20300</v>
      </c>
      <c r="C145" t="s">
        <v>229</v>
      </c>
    </row>
    <row r="146" spans="1:3" x14ac:dyDescent="0.25">
      <c r="A146">
        <v>40</v>
      </c>
      <c r="B146">
        <v>8800</v>
      </c>
      <c r="C146" t="s">
        <v>230</v>
      </c>
    </row>
    <row r="147" spans="1:3" x14ac:dyDescent="0.25">
      <c r="A147">
        <v>72</v>
      </c>
      <c r="B147">
        <v>21600</v>
      </c>
      <c r="C147" t="s">
        <v>231</v>
      </c>
    </row>
    <row r="148" spans="1:3" x14ac:dyDescent="0.25">
      <c r="A148">
        <v>65</v>
      </c>
      <c r="B148">
        <v>16250</v>
      </c>
      <c r="C148" t="s">
        <v>232</v>
      </c>
    </row>
    <row r="149" spans="1:3" x14ac:dyDescent="0.25">
      <c r="A149">
        <v>46</v>
      </c>
      <c r="B149">
        <v>20700</v>
      </c>
      <c r="C149" t="s">
        <v>233</v>
      </c>
    </row>
    <row r="150" spans="1:3" x14ac:dyDescent="0.25">
      <c r="A150">
        <v>21</v>
      </c>
      <c r="B150">
        <v>14700</v>
      </c>
      <c r="C150" t="s">
        <v>234</v>
      </c>
    </row>
    <row r="151" spans="1:3" x14ac:dyDescent="0.25">
      <c r="A151">
        <v>28</v>
      </c>
      <c r="B151">
        <v>6160</v>
      </c>
      <c r="C151" t="s">
        <v>235</v>
      </c>
    </row>
    <row r="152" spans="1:3" x14ac:dyDescent="0.25">
      <c r="A152">
        <v>30</v>
      </c>
      <c r="B152">
        <v>9000</v>
      </c>
      <c r="C152" t="s">
        <v>236</v>
      </c>
    </row>
    <row r="153" spans="1:3" x14ac:dyDescent="0.25">
      <c r="A153">
        <v>72</v>
      </c>
      <c r="B153">
        <v>18000</v>
      </c>
      <c r="C153" t="s">
        <v>237</v>
      </c>
    </row>
    <row r="154" spans="1:3" x14ac:dyDescent="0.25">
      <c r="A154">
        <v>74</v>
      </c>
      <c r="B154">
        <v>33300</v>
      </c>
      <c r="C154" t="s">
        <v>238</v>
      </c>
    </row>
    <row r="155" spans="1:3" x14ac:dyDescent="0.25">
      <c r="A155">
        <v>79</v>
      </c>
      <c r="B155">
        <v>55300</v>
      </c>
      <c r="C155" t="s">
        <v>239</v>
      </c>
    </row>
    <row r="156" spans="1:3" x14ac:dyDescent="0.25">
      <c r="A156">
        <v>30</v>
      </c>
      <c r="B156">
        <v>6600</v>
      </c>
      <c r="C156" t="s">
        <v>240</v>
      </c>
    </row>
    <row r="157" spans="1:3" x14ac:dyDescent="0.25">
      <c r="A157">
        <v>20</v>
      </c>
      <c r="B157">
        <v>6000</v>
      </c>
      <c r="C157" t="s">
        <v>241</v>
      </c>
    </row>
    <row r="158" spans="1:3" x14ac:dyDescent="0.25">
      <c r="A158">
        <v>67</v>
      </c>
      <c r="B158">
        <v>16750</v>
      </c>
      <c r="C158" t="s">
        <v>242</v>
      </c>
    </row>
    <row r="159" spans="1:3" x14ac:dyDescent="0.25">
      <c r="A159">
        <v>56</v>
      </c>
      <c r="B159">
        <v>25200</v>
      </c>
      <c r="C159" t="s">
        <v>243</v>
      </c>
    </row>
    <row r="160" spans="1:3" x14ac:dyDescent="0.25">
      <c r="A160">
        <v>80</v>
      </c>
      <c r="B160">
        <v>56000</v>
      </c>
      <c r="C160" t="s">
        <v>244</v>
      </c>
    </row>
    <row r="161" spans="1:3" x14ac:dyDescent="0.25">
      <c r="A161">
        <v>47</v>
      </c>
      <c r="B161">
        <v>10340</v>
      </c>
      <c r="C161" t="s">
        <v>245</v>
      </c>
    </row>
    <row r="162" spans="1:3" x14ac:dyDescent="0.25">
      <c r="A162">
        <v>72</v>
      </c>
      <c r="B162">
        <v>21600</v>
      </c>
      <c r="C162" t="s">
        <v>246</v>
      </c>
    </row>
    <row r="163" spans="1:3" x14ac:dyDescent="0.25">
      <c r="A163">
        <v>70</v>
      </c>
      <c r="B163">
        <v>17500</v>
      </c>
      <c r="C163" t="s">
        <v>247</v>
      </c>
    </row>
    <row r="164" spans="1:3" x14ac:dyDescent="0.25">
      <c r="A164">
        <v>55</v>
      </c>
      <c r="B164">
        <v>24750</v>
      </c>
      <c r="C164" t="s">
        <v>248</v>
      </c>
    </row>
    <row r="165" spans="1:3" x14ac:dyDescent="0.25">
      <c r="A165">
        <v>66</v>
      </c>
      <c r="B165">
        <v>46200</v>
      </c>
      <c r="C165" t="s">
        <v>249</v>
      </c>
    </row>
    <row r="166" spans="1:3" x14ac:dyDescent="0.25">
      <c r="A166">
        <v>74</v>
      </c>
      <c r="B166">
        <v>16280</v>
      </c>
      <c r="C166" t="s">
        <v>250</v>
      </c>
    </row>
    <row r="167" spans="1:3" x14ac:dyDescent="0.25">
      <c r="A167">
        <v>31</v>
      </c>
      <c r="B167">
        <v>9300</v>
      </c>
      <c r="C167" t="s">
        <v>251</v>
      </c>
    </row>
    <row r="168" spans="1:3" x14ac:dyDescent="0.25">
      <c r="A168">
        <v>33</v>
      </c>
      <c r="B168">
        <v>8250</v>
      </c>
      <c r="C168" t="s">
        <v>252</v>
      </c>
    </row>
    <row r="169" spans="1:3" x14ac:dyDescent="0.25">
      <c r="A169">
        <v>21</v>
      </c>
      <c r="B169">
        <v>9450</v>
      </c>
      <c r="C169" t="s">
        <v>253</v>
      </c>
    </row>
    <row r="170" spans="1:3" x14ac:dyDescent="0.25">
      <c r="A170">
        <v>56</v>
      </c>
      <c r="B170">
        <v>39200</v>
      </c>
      <c r="C170" t="s">
        <v>254</v>
      </c>
    </row>
    <row r="171" spans="1:3" x14ac:dyDescent="0.25">
      <c r="A171">
        <v>38</v>
      </c>
      <c r="B171">
        <v>8360</v>
      </c>
      <c r="C171" t="s">
        <v>255</v>
      </c>
    </row>
    <row r="172" spans="1:3" x14ac:dyDescent="0.25">
      <c r="A172">
        <v>72</v>
      </c>
      <c r="B172">
        <v>21600</v>
      </c>
      <c r="C172" t="s">
        <v>256</v>
      </c>
    </row>
    <row r="173" spans="1:3" x14ac:dyDescent="0.25">
      <c r="A173">
        <v>23</v>
      </c>
      <c r="B173">
        <v>5750</v>
      </c>
      <c r="C173" t="s">
        <v>257</v>
      </c>
    </row>
    <row r="174" spans="1:3" x14ac:dyDescent="0.25">
      <c r="A174">
        <v>50</v>
      </c>
      <c r="B174">
        <v>22500</v>
      </c>
      <c r="C174" t="s">
        <v>258</v>
      </c>
    </row>
    <row r="175" spans="1:3" x14ac:dyDescent="0.25">
      <c r="A175">
        <v>21</v>
      </c>
      <c r="B175">
        <v>14700</v>
      </c>
      <c r="C175" t="s">
        <v>259</v>
      </c>
    </row>
    <row r="176" spans="1:3" x14ac:dyDescent="0.25">
      <c r="A176">
        <v>35</v>
      </c>
      <c r="B176">
        <v>7700</v>
      </c>
      <c r="C176" t="s">
        <v>260</v>
      </c>
    </row>
    <row r="177" spans="1:3" x14ac:dyDescent="0.25">
      <c r="A177">
        <v>34</v>
      </c>
      <c r="B177">
        <v>10200</v>
      </c>
      <c r="C177" t="s">
        <v>261</v>
      </c>
    </row>
    <row r="178" spans="1:3" x14ac:dyDescent="0.25">
      <c r="A178">
        <v>62</v>
      </c>
      <c r="B178">
        <v>15500</v>
      </c>
      <c r="C178" t="s">
        <v>262</v>
      </c>
    </row>
    <row r="179" spans="1:3" x14ac:dyDescent="0.25">
      <c r="A179">
        <v>20</v>
      </c>
      <c r="B179">
        <v>9000</v>
      </c>
      <c r="C179" t="s">
        <v>263</v>
      </c>
    </row>
    <row r="180" spans="1:3" x14ac:dyDescent="0.25">
      <c r="A180">
        <v>32</v>
      </c>
      <c r="B180">
        <v>22400</v>
      </c>
      <c r="C180" t="s">
        <v>264</v>
      </c>
    </row>
    <row r="181" spans="1:3" x14ac:dyDescent="0.25">
      <c r="A181">
        <v>55</v>
      </c>
      <c r="B181">
        <v>12100</v>
      </c>
      <c r="C181" t="s">
        <v>265</v>
      </c>
    </row>
    <row r="182" spans="1:3" x14ac:dyDescent="0.25">
      <c r="A182">
        <v>28</v>
      </c>
      <c r="B182">
        <v>8400</v>
      </c>
      <c r="C182" t="s">
        <v>266</v>
      </c>
    </row>
    <row r="183" spans="1:3" x14ac:dyDescent="0.25">
      <c r="A183">
        <v>67</v>
      </c>
      <c r="B183">
        <v>16750</v>
      </c>
      <c r="C183" t="s">
        <v>267</v>
      </c>
    </row>
    <row r="184" spans="1:3" x14ac:dyDescent="0.25">
      <c r="A184">
        <v>49</v>
      </c>
      <c r="B184">
        <v>22050</v>
      </c>
      <c r="C184" t="s">
        <v>268</v>
      </c>
    </row>
    <row r="185" spans="1:3" x14ac:dyDescent="0.25">
      <c r="A185">
        <v>37</v>
      </c>
      <c r="B185">
        <v>25900</v>
      </c>
      <c r="C185" t="s">
        <v>269</v>
      </c>
    </row>
    <row r="186" spans="1:3" x14ac:dyDescent="0.25">
      <c r="A186">
        <v>34</v>
      </c>
      <c r="B186">
        <v>7480</v>
      </c>
      <c r="C186" t="s">
        <v>270</v>
      </c>
    </row>
    <row r="187" spans="1:3" x14ac:dyDescent="0.25">
      <c r="A187">
        <v>54</v>
      </c>
      <c r="B187">
        <v>16200</v>
      </c>
      <c r="C187" t="s">
        <v>271</v>
      </c>
    </row>
    <row r="188" spans="1:3" x14ac:dyDescent="0.25">
      <c r="A188">
        <v>36</v>
      </c>
      <c r="B188">
        <v>9000</v>
      </c>
      <c r="C188" t="s">
        <v>272</v>
      </c>
    </row>
    <row r="189" spans="1:3" x14ac:dyDescent="0.25">
      <c r="A189">
        <v>62</v>
      </c>
      <c r="B189">
        <v>27900</v>
      </c>
      <c r="C189" t="s">
        <v>273</v>
      </c>
    </row>
    <row r="190" spans="1:3" x14ac:dyDescent="0.25">
      <c r="A190">
        <v>57</v>
      </c>
      <c r="B190">
        <v>39900</v>
      </c>
      <c r="C190" t="s">
        <v>274</v>
      </c>
    </row>
    <row r="191" spans="1:3" x14ac:dyDescent="0.25">
      <c r="A191">
        <v>80</v>
      </c>
      <c r="B191">
        <v>17600</v>
      </c>
      <c r="C191" t="s">
        <v>275</v>
      </c>
    </row>
    <row r="192" spans="1:3" x14ac:dyDescent="0.25">
      <c r="A192">
        <v>63</v>
      </c>
      <c r="B192">
        <v>18900</v>
      </c>
      <c r="C192" t="s">
        <v>276</v>
      </c>
    </row>
    <row r="193" spans="1:3" x14ac:dyDescent="0.25">
      <c r="A193">
        <v>79</v>
      </c>
      <c r="B193">
        <v>19750</v>
      </c>
      <c r="C193" t="s">
        <v>277</v>
      </c>
    </row>
    <row r="194" spans="1:3" x14ac:dyDescent="0.25">
      <c r="A194">
        <v>72</v>
      </c>
      <c r="B194">
        <v>32400</v>
      </c>
      <c r="C194" t="s">
        <v>278</v>
      </c>
    </row>
    <row r="195" spans="1:3" x14ac:dyDescent="0.25">
      <c r="A195">
        <v>60</v>
      </c>
      <c r="B195">
        <v>42000</v>
      </c>
      <c r="C195" t="s">
        <v>279</v>
      </c>
    </row>
    <row r="196" spans="1:3" x14ac:dyDescent="0.25">
      <c r="A196">
        <v>67</v>
      </c>
      <c r="B196">
        <v>14740</v>
      </c>
      <c r="C196" t="s">
        <v>280</v>
      </c>
    </row>
    <row r="197" spans="1:3" x14ac:dyDescent="0.25">
      <c r="A197">
        <v>36</v>
      </c>
      <c r="B197">
        <v>10800</v>
      </c>
      <c r="C197" t="s">
        <v>281</v>
      </c>
    </row>
    <row r="198" spans="1:3" x14ac:dyDescent="0.25">
      <c r="A198">
        <v>50</v>
      </c>
      <c r="B198">
        <v>12500</v>
      </c>
      <c r="C198" t="s">
        <v>282</v>
      </c>
    </row>
    <row r="199" spans="1:3" x14ac:dyDescent="0.25">
      <c r="A199">
        <v>66</v>
      </c>
      <c r="B199">
        <v>29700</v>
      </c>
      <c r="C199" t="s">
        <v>283</v>
      </c>
    </row>
    <row r="200" spans="1:3" x14ac:dyDescent="0.25">
      <c r="A200">
        <v>70</v>
      </c>
      <c r="B200">
        <v>49000</v>
      </c>
      <c r="C200" t="s">
        <v>284</v>
      </c>
    </row>
    <row r="201" spans="1:3" x14ac:dyDescent="0.25">
      <c r="A201">
        <v>33</v>
      </c>
      <c r="B201">
        <v>7260</v>
      </c>
      <c r="C201" t="s">
        <v>285</v>
      </c>
    </row>
    <row r="202" spans="1:3" x14ac:dyDescent="0.25">
      <c r="A202">
        <v>56</v>
      </c>
      <c r="B202">
        <v>16800</v>
      </c>
      <c r="C202" t="s">
        <v>286</v>
      </c>
    </row>
    <row r="203" spans="1:3" x14ac:dyDescent="0.25">
      <c r="A203">
        <v>20</v>
      </c>
      <c r="B203">
        <v>5000</v>
      </c>
      <c r="C203" t="s">
        <v>287</v>
      </c>
    </row>
    <row r="204" spans="1:3" x14ac:dyDescent="0.25">
      <c r="A204">
        <v>75</v>
      </c>
      <c r="B204">
        <v>33750</v>
      </c>
      <c r="C204" t="s">
        <v>288</v>
      </c>
    </row>
    <row r="205" spans="1:3" x14ac:dyDescent="0.25">
      <c r="A205">
        <v>37</v>
      </c>
      <c r="B205">
        <v>25900</v>
      </c>
      <c r="C205" t="s">
        <v>289</v>
      </c>
    </row>
    <row r="206" spans="1:3" x14ac:dyDescent="0.25">
      <c r="A206">
        <v>33</v>
      </c>
      <c r="B206">
        <v>7260</v>
      </c>
      <c r="C206" t="s">
        <v>290</v>
      </c>
    </row>
    <row r="207" spans="1:3" x14ac:dyDescent="0.25">
      <c r="A207">
        <v>47</v>
      </c>
      <c r="B207">
        <v>14100</v>
      </c>
      <c r="C207" t="s">
        <v>291</v>
      </c>
    </row>
    <row r="208" spans="1:3" x14ac:dyDescent="0.25">
      <c r="A208">
        <v>39</v>
      </c>
      <c r="B208">
        <v>9750</v>
      </c>
      <c r="C208" t="s">
        <v>292</v>
      </c>
    </row>
    <row r="209" spans="1:3" x14ac:dyDescent="0.25">
      <c r="A209">
        <v>31</v>
      </c>
      <c r="B209">
        <v>13950</v>
      </c>
      <c r="C209" t="s">
        <v>293</v>
      </c>
    </row>
    <row r="210" spans="1:3" x14ac:dyDescent="0.25">
      <c r="A210">
        <v>53</v>
      </c>
      <c r="B210">
        <v>37100</v>
      </c>
      <c r="C210" t="s">
        <v>294</v>
      </c>
    </row>
    <row r="211" spans="1:3" x14ac:dyDescent="0.25">
      <c r="A211">
        <v>44</v>
      </c>
      <c r="B211">
        <v>9680</v>
      </c>
      <c r="C211" t="s">
        <v>295</v>
      </c>
    </row>
    <row r="212" spans="1:3" x14ac:dyDescent="0.25">
      <c r="A212">
        <v>52</v>
      </c>
      <c r="B212">
        <v>15600</v>
      </c>
      <c r="C212" t="s">
        <v>296</v>
      </c>
    </row>
    <row r="213" spans="1:3" x14ac:dyDescent="0.25">
      <c r="A213">
        <v>55</v>
      </c>
      <c r="B213">
        <v>13750</v>
      </c>
      <c r="C213" t="s">
        <v>297</v>
      </c>
    </row>
    <row r="214" spans="1:3" x14ac:dyDescent="0.25">
      <c r="A214">
        <v>25</v>
      </c>
      <c r="B214">
        <v>11250</v>
      </c>
      <c r="C214" t="s">
        <v>298</v>
      </c>
    </row>
    <row r="215" spans="1:3" x14ac:dyDescent="0.25">
      <c r="A215">
        <v>54</v>
      </c>
      <c r="B215">
        <v>37800</v>
      </c>
      <c r="C215" t="s">
        <v>299</v>
      </c>
    </row>
    <row r="216" spans="1:3" x14ac:dyDescent="0.25">
      <c r="A216">
        <v>69</v>
      </c>
      <c r="B216">
        <v>15180</v>
      </c>
      <c r="C216" t="s">
        <v>300</v>
      </c>
    </row>
    <row r="217" spans="1:3" x14ac:dyDescent="0.25">
      <c r="A217">
        <v>26</v>
      </c>
      <c r="B217">
        <v>7800</v>
      </c>
      <c r="C217" t="s">
        <v>301</v>
      </c>
    </row>
    <row r="218" spans="1:3" x14ac:dyDescent="0.25">
      <c r="A218">
        <v>51</v>
      </c>
      <c r="B218">
        <v>12750</v>
      </c>
      <c r="C218" t="s">
        <v>302</v>
      </c>
    </row>
    <row r="219" spans="1:3" x14ac:dyDescent="0.25">
      <c r="A219">
        <v>28</v>
      </c>
      <c r="B219">
        <v>12600</v>
      </c>
      <c r="C219" t="s">
        <v>303</v>
      </c>
    </row>
    <row r="220" spans="1:3" x14ac:dyDescent="0.25">
      <c r="A220">
        <v>53</v>
      </c>
      <c r="B220">
        <v>37100</v>
      </c>
      <c r="C220" t="s">
        <v>304</v>
      </c>
    </row>
    <row r="221" spans="1:3" x14ac:dyDescent="0.25">
      <c r="A221">
        <v>67</v>
      </c>
      <c r="B221">
        <v>14740</v>
      </c>
      <c r="C221" t="s">
        <v>305</v>
      </c>
    </row>
    <row r="222" spans="1:3" x14ac:dyDescent="0.25">
      <c r="A222">
        <v>65</v>
      </c>
      <c r="B222">
        <v>19500</v>
      </c>
      <c r="C222" t="s">
        <v>306</v>
      </c>
    </row>
    <row r="223" spans="1:3" x14ac:dyDescent="0.25">
      <c r="A223">
        <v>47</v>
      </c>
      <c r="B223">
        <v>11750</v>
      </c>
      <c r="C223" t="s">
        <v>307</v>
      </c>
    </row>
    <row r="224" spans="1:3" x14ac:dyDescent="0.25">
      <c r="A224">
        <v>28</v>
      </c>
      <c r="B224">
        <v>12600</v>
      </c>
      <c r="C224" t="s">
        <v>308</v>
      </c>
    </row>
    <row r="225" spans="1:3" x14ac:dyDescent="0.25">
      <c r="A225">
        <v>53</v>
      </c>
      <c r="B225">
        <v>37100</v>
      </c>
      <c r="C225" t="s">
        <v>309</v>
      </c>
    </row>
    <row r="226" spans="1:3" x14ac:dyDescent="0.25">
      <c r="A226">
        <v>33</v>
      </c>
      <c r="B226">
        <v>7260</v>
      </c>
      <c r="C226" t="s">
        <v>310</v>
      </c>
    </row>
    <row r="227" spans="1:3" x14ac:dyDescent="0.25">
      <c r="A227">
        <v>50</v>
      </c>
      <c r="B227">
        <v>15000</v>
      </c>
      <c r="C227" t="s">
        <v>311</v>
      </c>
    </row>
    <row r="228" spans="1:3" x14ac:dyDescent="0.25">
      <c r="A228">
        <v>44</v>
      </c>
      <c r="B228">
        <v>11000</v>
      </c>
      <c r="C228" t="s">
        <v>312</v>
      </c>
    </row>
    <row r="229" spans="1:3" x14ac:dyDescent="0.25">
      <c r="A229">
        <v>74</v>
      </c>
      <c r="B229">
        <v>33300</v>
      </c>
      <c r="C229" t="s">
        <v>313</v>
      </c>
    </row>
    <row r="230" spans="1:3" x14ac:dyDescent="0.25">
      <c r="A230">
        <v>74</v>
      </c>
      <c r="B230">
        <v>51800</v>
      </c>
      <c r="C230" t="s">
        <v>314</v>
      </c>
    </row>
    <row r="231" spans="1:3" x14ac:dyDescent="0.25">
      <c r="A231">
        <v>38</v>
      </c>
      <c r="B231">
        <v>8360</v>
      </c>
      <c r="C231" t="s">
        <v>315</v>
      </c>
    </row>
    <row r="232" spans="1:3" x14ac:dyDescent="0.25">
      <c r="A232">
        <v>30</v>
      </c>
      <c r="B232">
        <v>9000</v>
      </c>
      <c r="C232" t="s">
        <v>316</v>
      </c>
    </row>
    <row r="233" spans="1:3" x14ac:dyDescent="0.25">
      <c r="A233">
        <v>61</v>
      </c>
      <c r="B233">
        <v>15250</v>
      </c>
      <c r="C233" t="s">
        <v>317</v>
      </c>
    </row>
    <row r="234" spans="1:3" x14ac:dyDescent="0.25">
      <c r="A234">
        <v>64</v>
      </c>
      <c r="B234">
        <v>28800</v>
      </c>
      <c r="C234" t="s">
        <v>318</v>
      </c>
    </row>
    <row r="235" spans="1:3" x14ac:dyDescent="0.25">
      <c r="A235">
        <v>36</v>
      </c>
      <c r="B235">
        <v>25200</v>
      </c>
      <c r="C235" t="s">
        <v>319</v>
      </c>
    </row>
    <row r="236" spans="1:3" x14ac:dyDescent="0.25">
      <c r="A236">
        <v>44</v>
      </c>
      <c r="B236">
        <v>9680</v>
      </c>
      <c r="C236" t="s">
        <v>320</v>
      </c>
    </row>
    <row r="237" spans="1:3" x14ac:dyDescent="0.25">
      <c r="A237">
        <v>24</v>
      </c>
      <c r="B237">
        <v>7200</v>
      </c>
      <c r="C237" t="s">
        <v>321</v>
      </c>
    </row>
    <row r="238" spans="1:3" x14ac:dyDescent="0.25">
      <c r="A238">
        <v>59</v>
      </c>
      <c r="B238">
        <v>14750</v>
      </c>
      <c r="C238" t="s">
        <v>322</v>
      </c>
    </row>
    <row r="239" spans="1:3" x14ac:dyDescent="0.25">
      <c r="A239">
        <v>54</v>
      </c>
      <c r="B239">
        <v>24300</v>
      </c>
      <c r="C239" t="s">
        <v>323</v>
      </c>
    </row>
    <row r="240" spans="1:3" x14ac:dyDescent="0.25">
      <c r="A240">
        <v>40</v>
      </c>
      <c r="B240">
        <v>28000</v>
      </c>
      <c r="C240" t="s">
        <v>324</v>
      </c>
    </row>
    <row r="241" spans="1:3" x14ac:dyDescent="0.25">
      <c r="A241">
        <v>43</v>
      </c>
      <c r="B241">
        <v>9460</v>
      </c>
      <c r="C241" t="s">
        <v>325</v>
      </c>
    </row>
    <row r="242" spans="1:3" x14ac:dyDescent="0.25">
      <c r="A242">
        <v>66</v>
      </c>
      <c r="B242">
        <v>19800</v>
      </c>
      <c r="C242" t="s">
        <v>326</v>
      </c>
    </row>
    <row r="243" spans="1:3" x14ac:dyDescent="0.25">
      <c r="A243">
        <v>52</v>
      </c>
      <c r="B243">
        <v>13000</v>
      </c>
      <c r="C243" t="s">
        <v>327</v>
      </c>
    </row>
    <row r="244" spans="1:3" x14ac:dyDescent="0.25">
      <c r="A244">
        <v>69</v>
      </c>
      <c r="B244">
        <v>31050</v>
      </c>
      <c r="C244" t="s">
        <v>328</v>
      </c>
    </row>
    <row r="245" spans="1:3" x14ac:dyDescent="0.25">
      <c r="A245">
        <v>75</v>
      </c>
      <c r="B245">
        <v>52500</v>
      </c>
      <c r="C245" t="s">
        <v>329</v>
      </c>
    </row>
    <row r="246" spans="1:3" x14ac:dyDescent="0.25">
      <c r="A246">
        <v>66</v>
      </c>
      <c r="B246">
        <v>14520</v>
      </c>
      <c r="C246" t="s">
        <v>330</v>
      </c>
    </row>
    <row r="247" spans="1:3" x14ac:dyDescent="0.25">
      <c r="A247">
        <v>41</v>
      </c>
      <c r="B247">
        <v>12300</v>
      </c>
      <c r="C247" t="s">
        <v>331</v>
      </c>
    </row>
    <row r="248" spans="1:3" x14ac:dyDescent="0.25">
      <c r="A248">
        <v>35</v>
      </c>
      <c r="B248">
        <v>8750</v>
      </c>
      <c r="C248" t="s">
        <v>332</v>
      </c>
    </row>
    <row r="249" spans="1:3" x14ac:dyDescent="0.25">
      <c r="A249">
        <v>47</v>
      </c>
      <c r="B249">
        <v>21150</v>
      </c>
      <c r="C249" t="s">
        <v>333</v>
      </c>
    </row>
    <row r="250" spans="1:3" x14ac:dyDescent="0.25">
      <c r="A250">
        <v>33</v>
      </c>
      <c r="B250">
        <v>23100</v>
      </c>
      <c r="C250" t="s">
        <v>334</v>
      </c>
    </row>
    <row r="251" spans="1:3" x14ac:dyDescent="0.25">
      <c r="A251">
        <v>62</v>
      </c>
      <c r="B251">
        <v>13640</v>
      </c>
      <c r="C251" t="s">
        <v>335</v>
      </c>
    </row>
    <row r="252" spans="1:3" x14ac:dyDescent="0.25">
      <c r="A252">
        <v>39</v>
      </c>
      <c r="B252">
        <v>11700</v>
      </c>
      <c r="C252" t="s">
        <v>336</v>
      </c>
    </row>
    <row r="253" spans="1:3" x14ac:dyDescent="0.25">
      <c r="A253">
        <v>48</v>
      </c>
      <c r="B253">
        <v>12000</v>
      </c>
      <c r="C253" t="s">
        <v>337</v>
      </c>
    </row>
    <row r="254" spans="1:3" x14ac:dyDescent="0.25">
      <c r="A254">
        <v>51</v>
      </c>
      <c r="B254">
        <v>22950</v>
      </c>
      <c r="C254" t="s">
        <v>338</v>
      </c>
    </row>
    <row r="255" spans="1:3" x14ac:dyDescent="0.25">
      <c r="A255">
        <v>20</v>
      </c>
      <c r="B255">
        <v>14000</v>
      </c>
      <c r="C255" t="s">
        <v>339</v>
      </c>
    </row>
    <row r="256" spans="1:3" x14ac:dyDescent="0.25">
      <c r="A256">
        <v>68</v>
      </c>
      <c r="B256">
        <v>14960</v>
      </c>
      <c r="C256" t="s">
        <v>340</v>
      </c>
    </row>
    <row r="257" spans="1:3" x14ac:dyDescent="0.25">
      <c r="A257">
        <v>40</v>
      </c>
      <c r="B257">
        <v>12000</v>
      </c>
      <c r="C257" t="s">
        <v>341</v>
      </c>
    </row>
    <row r="258" spans="1:3" x14ac:dyDescent="0.25">
      <c r="A258">
        <v>43</v>
      </c>
      <c r="B258">
        <v>10750</v>
      </c>
      <c r="C258" t="s">
        <v>342</v>
      </c>
    </row>
    <row r="259" spans="1:3" x14ac:dyDescent="0.25">
      <c r="A259">
        <v>42</v>
      </c>
      <c r="B259">
        <v>18900</v>
      </c>
      <c r="C259" t="s">
        <v>343</v>
      </c>
    </row>
    <row r="260" spans="1:3" x14ac:dyDescent="0.25">
      <c r="A260">
        <v>67</v>
      </c>
      <c r="B260">
        <v>46900</v>
      </c>
      <c r="C260" t="s">
        <v>344</v>
      </c>
    </row>
    <row r="261" spans="1:3" x14ac:dyDescent="0.25">
      <c r="A261">
        <v>65</v>
      </c>
      <c r="B261">
        <v>14300</v>
      </c>
      <c r="C261" t="s">
        <v>345</v>
      </c>
    </row>
    <row r="262" spans="1:3" x14ac:dyDescent="0.25">
      <c r="A262">
        <v>27</v>
      </c>
      <c r="B262">
        <v>8100</v>
      </c>
      <c r="C262" t="s">
        <v>346</v>
      </c>
    </row>
    <row r="263" spans="1:3" x14ac:dyDescent="0.25">
      <c r="A263">
        <v>34</v>
      </c>
      <c r="B263">
        <v>8500</v>
      </c>
      <c r="C263" t="s">
        <v>347</v>
      </c>
    </row>
    <row r="264" spans="1:3" x14ac:dyDescent="0.25">
      <c r="A264">
        <v>62</v>
      </c>
      <c r="B264">
        <v>27900</v>
      </c>
      <c r="C264" t="s">
        <v>348</v>
      </c>
    </row>
    <row r="265" spans="1:3" x14ac:dyDescent="0.25">
      <c r="A265">
        <v>41</v>
      </c>
      <c r="B265">
        <v>28700</v>
      </c>
      <c r="C265" t="s">
        <v>349</v>
      </c>
    </row>
    <row r="266" spans="1:3" x14ac:dyDescent="0.25">
      <c r="A266">
        <v>21</v>
      </c>
      <c r="B266">
        <v>4620</v>
      </c>
      <c r="C266" t="s">
        <v>350</v>
      </c>
    </row>
    <row r="267" spans="1:3" x14ac:dyDescent="0.25">
      <c r="A267">
        <v>25</v>
      </c>
      <c r="B267">
        <v>7500</v>
      </c>
      <c r="C267" t="s">
        <v>351</v>
      </c>
    </row>
    <row r="268" spans="1:3" x14ac:dyDescent="0.25">
      <c r="A268">
        <v>55</v>
      </c>
      <c r="B268">
        <v>13750</v>
      </c>
      <c r="C268" t="s">
        <v>352</v>
      </c>
    </row>
    <row r="269" spans="1:3" x14ac:dyDescent="0.25">
      <c r="A269">
        <v>51</v>
      </c>
      <c r="B269">
        <v>22950</v>
      </c>
      <c r="C269" t="s">
        <v>353</v>
      </c>
    </row>
    <row r="270" spans="1:3" x14ac:dyDescent="0.25">
      <c r="A270">
        <v>29</v>
      </c>
      <c r="B270">
        <v>20300</v>
      </c>
      <c r="C270" t="s">
        <v>354</v>
      </c>
    </row>
    <row r="271" spans="1:3" x14ac:dyDescent="0.25">
      <c r="A271">
        <v>34</v>
      </c>
      <c r="B271">
        <v>7480</v>
      </c>
      <c r="C271" t="s">
        <v>355</v>
      </c>
    </row>
    <row r="272" spans="1:3" x14ac:dyDescent="0.25">
      <c r="A272">
        <v>48</v>
      </c>
      <c r="B272">
        <v>14400</v>
      </c>
      <c r="C272" t="s">
        <v>356</v>
      </c>
    </row>
    <row r="273" spans="1:3" x14ac:dyDescent="0.25">
      <c r="A273">
        <v>42</v>
      </c>
      <c r="B273">
        <v>10500</v>
      </c>
      <c r="C273" t="s">
        <v>357</v>
      </c>
    </row>
    <row r="274" spans="1:3" x14ac:dyDescent="0.25">
      <c r="A274">
        <v>47</v>
      </c>
      <c r="B274">
        <v>21150</v>
      </c>
      <c r="C274" t="s">
        <v>358</v>
      </c>
    </row>
    <row r="275" spans="1:3" x14ac:dyDescent="0.25">
      <c r="A275">
        <v>20</v>
      </c>
      <c r="B275">
        <v>14000</v>
      </c>
      <c r="C275" t="s">
        <v>359</v>
      </c>
    </row>
    <row r="276" spans="1:3" x14ac:dyDescent="0.25">
      <c r="A276">
        <v>28</v>
      </c>
      <c r="B276">
        <v>6160</v>
      </c>
      <c r="C276" t="s">
        <v>360</v>
      </c>
    </row>
    <row r="277" spans="1:3" x14ac:dyDescent="0.25">
      <c r="A277">
        <v>63</v>
      </c>
      <c r="B277">
        <v>18900</v>
      </c>
      <c r="C277" t="s">
        <v>361</v>
      </c>
    </row>
    <row r="278" spans="1:3" x14ac:dyDescent="0.25">
      <c r="A278">
        <v>35</v>
      </c>
      <c r="B278">
        <v>8750</v>
      </c>
      <c r="C278" t="s">
        <v>362</v>
      </c>
    </row>
    <row r="279" spans="1:3" x14ac:dyDescent="0.25">
      <c r="A279">
        <v>71</v>
      </c>
      <c r="B279">
        <v>31950</v>
      </c>
      <c r="C279" t="s">
        <v>363</v>
      </c>
    </row>
    <row r="280" spans="1:3" x14ac:dyDescent="0.25">
      <c r="A280">
        <v>30</v>
      </c>
      <c r="B280">
        <v>21000</v>
      </c>
      <c r="C280" t="s">
        <v>364</v>
      </c>
    </row>
    <row r="281" spans="1:3" x14ac:dyDescent="0.25">
      <c r="A281">
        <v>23</v>
      </c>
      <c r="B281">
        <v>5060</v>
      </c>
      <c r="C281" t="s">
        <v>365</v>
      </c>
    </row>
    <row r="282" spans="1:3" x14ac:dyDescent="0.25">
      <c r="A282">
        <v>48</v>
      </c>
      <c r="B282">
        <v>14400</v>
      </c>
      <c r="C282" t="s">
        <v>366</v>
      </c>
    </row>
    <row r="283" spans="1:3" x14ac:dyDescent="0.25">
      <c r="A283">
        <v>69</v>
      </c>
      <c r="B283">
        <v>17250</v>
      </c>
      <c r="C283" t="s">
        <v>367</v>
      </c>
    </row>
    <row r="284" spans="1:3" x14ac:dyDescent="0.25">
      <c r="A284">
        <v>66</v>
      </c>
      <c r="B284">
        <v>29700</v>
      </c>
      <c r="C284" t="s">
        <v>368</v>
      </c>
    </row>
    <row r="285" spans="1:3" x14ac:dyDescent="0.25">
      <c r="A285">
        <v>24</v>
      </c>
      <c r="B285">
        <v>16800</v>
      </c>
      <c r="C285" t="s">
        <v>369</v>
      </c>
    </row>
    <row r="286" spans="1:3" x14ac:dyDescent="0.25">
      <c r="A286">
        <v>35</v>
      </c>
      <c r="B286">
        <v>7700</v>
      </c>
      <c r="C286" t="s">
        <v>370</v>
      </c>
    </row>
    <row r="287" spans="1:3" x14ac:dyDescent="0.25">
      <c r="A287">
        <v>80</v>
      </c>
      <c r="B287">
        <v>24000</v>
      </c>
      <c r="C287" t="s">
        <v>371</v>
      </c>
    </row>
    <row r="288" spans="1:3" x14ac:dyDescent="0.25">
      <c r="A288">
        <v>34</v>
      </c>
      <c r="B288">
        <v>8500</v>
      </c>
      <c r="C288" t="s">
        <v>372</v>
      </c>
    </row>
    <row r="289" spans="1:3" x14ac:dyDescent="0.25">
      <c r="A289">
        <v>30</v>
      </c>
      <c r="B289">
        <v>13500</v>
      </c>
      <c r="C289" t="s">
        <v>373</v>
      </c>
    </row>
    <row r="290" spans="1:3" x14ac:dyDescent="0.25">
      <c r="A290">
        <v>43</v>
      </c>
      <c r="B290">
        <v>30100</v>
      </c>
      <c r="C290" t="s">
        <v>374</v>
      </c>
    </row>
    <row r="291" spans="1:3" x14ac:dyDescent="0.25">
      <c r="A291">
        <v>33</v>
      </c>
      <c r="B291">
        <v>9900</v>
      </c>
      <c r="C291" t="s">
        <v>375</v>
      </c>
    </row>
    <row r="292" spans="1:3" x14ac:dyDescent="0.25">
      <c r="A292">
        <v>39</v>
      </c>
      <c r="B292">
        <v>9750</v>
      </c>
      <c r="C292" t="s">
        <v>376</v>
      </c>
    </row>
    <row r="293" spans="1:3" x14ac:dyDescent="0.25">
      <c r="A293">
        <v>30</v>
      </c>
      <c r="B293">
        <v>13500</v>
      </c>
      <c r="C293" t="s">
        <v>377</v>
      </c>
    </row>
    <row r="294" spans="1:3" x14ac:dyDescent="0.25">
      <c r="A294">
        <v>70</v>
      </c>
      <c r="B294">
        <v>49000</v>
      </c>
      <c r="C294" t="s">
        <v>378</v>
      </c>
    </row>
    <row r="295" spans="1:3" x14ac:dyDescent="0.25">
      <c r="A295">
        <v>76</v>
      </c>
      <c r="B295">
        <v>16720</v>
      </c>
      <c r="C295" t="s">
        <v>379</v>
      </c>
    </row>
    <row r="296" spans="1:3" x14ac:dyDescent="0.25">
      <c r="A296">
        <v>69</v>
      </c>
      <c r="B296">
        <v>20700</v>
      </c>
      <c r="C296" t="s">
        <v>380</v>
      </c>
    </row>
    <row r="297" spans="1:3" x14ac:dyDescent="0.25">
      <c r="A297">
        <v>38</v>
      </c>
      <c r="B297">
        <v>9500</v>
      </c>
      <c r="C297" t="s">
        <v>381</v>
      </c>
    </row>
    <row r="298" spans="1:3" x14ac:dyDescent="0.25">
      <c r="A298">
        <v>44</v>
      </c>
      <c r="B298">
        <v>19800</v>
      </c>
      <c r="C298" t="s">
        <v>382</v>
      </c>
    </row>
    <row r="299" spans="1:3" x14ac:dyDescent="0.25">
      <c r="A299">
        <v>45</v>
      </c>
      <c r="B299">
        <v>31500</v>
      </c>
      <c r="C299" t="s">
        <v>383</v>
      </c>
    </row>
    <row r="300" spans="1:3" x14ac:dyDescent="0.25">
      <c r="A300">
        <v>65</v>
      </c>
      <c r="B300">
        <v>14300</v>
      </c>
      <c r="C300" t="s">
        <v>384</v>
      </c>
    </row>
    <row r="301" spans="1:3" x14ac:dyDescent="0.25">
      <c r="A301">
        <v>30</v>
      </c>
      <c r="B301">
        <v>9000</v>
      </c>
      <c r="C301" t="s">
        <v>385</v>
      </c>
    </row>
    <row r="302" spans="1:3" x14ac:dyDescent="0.25">
      <c r="A302">
        <v>53</v>
      </c>
      <c r="B302">
        <v>13250</v>
      </c>
      <c r="C302" t="s">
        <v>386</v>
      </c>
    </row>
    <row r="303" spans="1:3" x14ac:dyDescent="0.25">
      <c r="A303">
        <v>77</v>
      </c>
      <c r="B303">
        <v>34650</v>
      </c>
      <c r="C303" t="s">
        <v>387</v>
      </c>
    </row>
    <row r="304" spans="1:3" x14ac:dyDescent="0.25">
      <c r="A304">
        <v>64</v>
      </c>
      <c r="B304">
        <v>44800</v>
      </c>
      <c r="C304" t="s">
        <v>388</v>
      </c>
    </row>
    <row r="305" spans="1:3" x14ac:dyDescent="0.25">
      <c r="A305">
        <v>24</v>
      </c>
      <c r="B305">
        <v>5280</v>
      </c>
      <c r="C305" t="s">
        <v>389</v>
      </c>
    </row>
    <row r="306" spans="1:3" x14ac:dyDescent="0.25">
      <c r="A306">
        <v>74</v>
      </c>
      <c r="B306">
        <v>22200</v>
      </c>
      <c r="C306" t="s">
        <v>390</v>
      </c>
    </row>
    <row r="307" spans="1:3" x14ac:dyDescent="0.25">
      <c r="A307">
        <v>36</v>
      </c>
      <c r="B307">
        <v>9000</v>
      </c>
      <c r="C307" t="s">
        <v>391</v>
      </c>
    </row>
    <row r="308" spans="1:3" x14ac:dyDescent="0.25">
      <c r="A308">
        <v>50</v>
      </c>
      <c r="B308">
        <v>22500</v>
      </c>
      <c r="C308" t="s">
        <v>392</v>
      </c>
    </row>
    <row r="309" spans="1:3" x14ac:dyDescent="0.25">
      <c r="A309">
        <v>70</v>
      </c>
      <c r="B309">
        <v>49000</v>
      </c>
      <c r="C309" t="s">
        <v>393</v>
      </c>
    </row>
    <row r="310" spans="1:3" x14ac:dyDescent="0.25">
      <c r="A310">
        <v>75</v>
      </c>
      <c r="B310">
        <v>16500</v>
      </c>
      <c r="C310" t="s">
        <v>394</v>
      </c>
    </row>
    <row r="311" spans="1:3" x14ac:dyDescent="0.25">
      <c r="A311">
        <v>51</v>
      </c>
      <c r="B311">
        <v>15300</v>
      </c>
      <c r="C311" t="s">
        <v>395</v>
      </c>
    </row>
    <row r="312" spans="1:3" x14ac:dyDescent="0.25">
      <c r="A312">
        <v>40</v>
      </c>
      <c r="B312">
        <v>10000</v>
      </c>
      <c r="C312" t="s">
        <v>396</v>
      </c>
    </row>
    <row r="313" spans="1:3" x14ac:dyDescent="0.25">
      <c r="A313">
        <v>36</v>
      </c>
      <c r="B313">
        <v>16200</v>
      </c>
      <c r="C313" t="s">
        <v>397</v>
      </c>
    </row>
    <row r="314" spans="1:3" x14ac:dyDescent="0.25">
      <c r="A314">
        <v>58</v>
      </c>
      <c r="B314">
        <v>40600</v>
      </c>
      <c r="C314" t="s">
        <v>398</v>
      </c>
    </row>
    <row r="315" spans="1:3" x14ac:dyDescent="0.25">
      <c r="A315">
        <v>37</v>
      </c>
      <c r="B315">
        <v>8140</v>
      </c>
      <c r="C315" t="s">
        <v>399</v>
      </c>
    </row>
    <row r="316" spans="1:3" x14ac:dyDescent="0.25">
      <c r="A316">
        <v>52</v>
      </c>
      <c r="B316">
        <v>15600</v>
      </c>
      <c r="C316" t="s">
        <v>400</v>
      </c>
    </row>
    <row r="317" spans="1:3" x14ac:dyDescent="0.25">
      <c r="A317">
        <v>20</v>
      </c>
      <c r="B317">
        <v>5000</v>
      </c>
      <c r="C317" t="s">
        <v>401</v>
      </c>
    </row>
    <row r="318" spans="1:3" x14ac:dyDescent="0.25">
      <c r="A318">
        <v>23</v>
      </c>
      <c r="B318">
        <v>10350</v>
      </c>
      <c r="C318" t="s">
        <v>402</v>
      </c>
    </row>
    <row r="319" spans="1:3" x14ac:dyDescent="0.25">
      <c r="A319">
        <v>57</v>
      </c>
      <c r="B319">
        <v>39900</v>
      </c>
      <c r="C319" t="s">
        <v>403</v>
      </c>
    </row>
    <row r="320" spans="1:3" x14ac:dyDescent="0.25">
      <c r="A320">
        <v>45</v>
      </c>
      <c r="B320">
        <v>9900</v>
      </c>
      <c r="C320" t="s">
        <v>404</v>
      </c>
    </row>
    <row r="321" spans="1:3" x14ac:dyDescent="0.25">
      <c r="A321">
        <v>59</v>
      </c>
      <c r="B321">
        <v>17700</v>
      </c>
      <c r="C321" t="s">
        <v>405</v>
      </c>
    </row>
    <row r="322" spans="1:3" x14ac:dyDescent="0.25">
      <c r="A322">
        <v>21</v>
      </c>
      <c r="B322">
        <v>5250</v>
      </c>
      <c r="C322" t="s">
        <v>406</v>
      </c>
    </row>
    <row r="323" spans="1:3" x14ac:dyDescent="0.25">
      <c r="A323">
        <v>50</v>
      </c>
      <c r="B323">
        <v>22500</v>
      </c>
      <c r="C323" t="s">
        <v>407</v>
      </c>
    </row>
    <row r="324" spans="1:3" x14ac:dyDescent="0.25">
      <c r="A324">
        <v>42</v>
      </c>
      <c r="B324">
        <v>29400</v>
      </c>
      <c r="C324" t="s">
        <v>408</v>
      </c>
    </row>
    <row r="325" spans="1:3" x14ac:dyDescent="0.25">
      <c r="A325">
        <v>21</v>
      </c>
      <c r="B325">
        <v>4620</v>
      </c>
      <c r="C325" t="s">
        <v>409</v>
      </c>
    </row>
    <row r="326" spans="1:3" x14ac:dyDescent="0.25">
      <c r="A326">
        <v>29</v>
      </c>
      <c r="B326">
        <v>8700</v>
      </c>
      <c r="C326" t="s">
        <v>410</v>
      </c>
    </row>
    <row r="327" spans="1:3" x14ac:dyDescent="0.25">
      <c r="A327">
        <v>33</v>
      </c>
      <c r="B327">
        <v>8250</v>
      </c>
      <c r="C327" t="s">
        <v>411</v>
      </c>
    </row>
    <row r="328" spans="1:3" x14ac:dyDescent="0.25">
      <c r="A328">
        <v>59</v>
      </c>
      <c r="B328">
        <v>26550</v>
      </c>
      <c r="C328" t="s">
        <v>412</v>
      </c>
    </row>
    <row r="329" spans="1:3" x14ac:dyDescent="0.25">
      <c r="A329">
        <v>21</v>
      </c>
      <c r="B329">
        <v>14700</v>
      </c>
      <c r="C329" t="s">
        <v>413</v>
      </c>
    </row>
    <row r="330" spans="1:3" x14ac:dyDescent="0.25">
      <c r="A330">
        <v>41</v>
      </c>
      <c r="B330">
        <v>9020</v>
      </c>
      <c r="C330" t="s">
        <v>414</v>
      </c>
    </row>
    <row r="331" spans="1:3" x14ac:dyDescent="0.25">
      <c r="A331">
        <v>42</v>
      </c>
      <c r="B331">
        <v>12600</v>
      </c>
      <c r="C331" t="s">
        <v>415</v>
      </c>
    </row>
    <row r="332" spans="1:3" x14ac:dyDescent="0.25">
      <c r="A332">
        <v>63</v>
      </c>
      <c r="B332">
        <v>15750</v>
      </c>
      <c r="C332" t="s">
        <v>416</v>
      </c>
    </row>
    <row r="333" spans="1:3" x14ac:dyDescent="0.25">
      <c r="A333">
        <v>26</v>
      </c>
      <c r="B333">
        <v>11700</v>
      </c>
      <c r="C333" t="s">
        <v>417</v>
      </c>
    </row>
    <row r="334" spans="1:3" x14ac:dyDescent="0.25">
      <c r="A334">
        <v>63</v>
      </c>
      <c r="B334">
        <v>44100</v>
      </c>
      <c r="C334" t="s">
        <v>418</v>
      </c>
    </row>
    <row r="335" spans="1:3" x14ac:dyDescent="0.25">
      <c r="A335">
        <v>55</v>
      </c>
      <c r="B335">
        <v>12100</v>
      </c>
      <c r="C335" t="s">
        <v>419</v>
      </c>
    </row>
    <row r="336" spans="1:3" x14ac:dyDescent="0.25">
      <c r="A336">
        <v>62</v>
      </c>
      <c r="B336">
        <v>18600</v>
      </c>
      <c r="C336" t="s">
        <v>420</v>
      </c>
    </row>
    <row r="337" spans="1:3" x14ac:dyDescent="0.25">
      <c r="A337">
        <v>60</v>
      </c>
      <c r="B337">
        <v>15000</v>
      </c>
      <c r="C337" t="s">
        <v>421</v>
      </c>
    </row>
    <row r="338" spans="1:3" x14ac:dyDescent="0.25">
      <c r="A338">
        <v>37</v>
      </c>
      <c r="B338">
        <v>16650</v>
      </c>
      <c r="C338" t="s">
        <v>422</v>
      </c>
    </row>
    <row r="339" spans="1:3" x14ac:dyDescent="0.25">
      <c r="A339">
        <v>57</v>
      </c>
      <c r="B339">
        <v>39900</v>
      </c>
      <c r="C339" t="s">
        <v>423</v>
      </c>
    </row>
    <row r="340" spans="1:3" x14ac:dyDescent="0.25">
      <c r="A340">
        <v>44</v>
      </c>
      <c r="B340">
        <v>9680</v>
      </c>
      <c r="C340" t="s">
        <v>424</v>
      </c>
    </row>
    <row r="341" spans="1:3" x14ac:dyDescent="0.25">
      <c r="A341">
        <v>74</v>
      </c>
      <c r="B341">
        <v>22200</v>
      </c>
      <c r="C341" t="s">
        <v>425</v>
      </c>
    </row>
    <row r="342" spans="1:3" x14ac:dyDescent="0.25">
      <c r="A342">
        <v>69</v>
      </c>
      <c r="B342">
        <v>17250</v>
      </c>
      <c r="C342" t="s">
        <v>426</v>
      </c>
    </row>
    <row r="343" spans="1:3" x14ac:dyDescent="0.25">
      <c r="A343">
        <v>35</v>
      </c>
      <c r="B343">
        <v>15750</v>
      </c>
      <c r="C343" t="s">
        <v>427</v>
      </c>
    </row>
    <row r="344" spans="1:3" x14ac:dyDescent="0.25">
      <c r="A344">
        <v>66</v>
      </c>
      <c r="B344">
        <v>46200</v>
      </c>
      <c r="C344" t="s">
        <v>428</v>
      </c>
    </row>
    <row r="345" spans="1:3" x14ac:dyDescent="0.25">
      <c r="A345">
        <v>60</v>
      </c>
      <c r="B345">
        <v>13200</v>
      </c>
      <c r="C345" t="s">
        <v>429</v>
      </c>
    </row>
    <row r="346" spans="1:3" x14ac:dyDescent="0.25">
      <c r="A346">
        <v>31</v>
      </c>
      <c r="B346">
        <v>9300</v>
      </c>
      <c r="C346" t="s">
        <v>430</v>
      </c>
    </row>
    <row r="347" spans="1:3" x14ac:dyDescent="0.25">
      <c r="A347">
        <v>63</v>
      </c>
      <c r="B347">
        <v>15750</v>
      </c>
      <c r="C347" t="s">
        <v>431</v>
      </c>
    </row>
    <row r="348" spans="1:3" x14ac:dyDescent="0.25">
      <c r="A348">
        <v>73</v>
      </c>
      <c r="B348">
        <v>32850</v>
      </c>
      <c r="C348" t="s">
        <v>432</v>
      </c>
    </row>
    <row r="349" spans="1:3" x14ac:dyDescent="0.25">
      <c r="A349">
        <v>24</v>
      </c>
      <c r="B349">
        <v>16800</v>
      </c>
      <c r="C349" t="s">
        <v>433</v>
      </c>
    </row>
    <row r="350" spans="1:3" x14ac:dyDescent="0.25">
      <c r="A350">
        <v>80</v>
      </c>
      <c r="B350">
        <v>17600</v>
      </c>
      <c r="C350" t="s">
        <v>434</v>
      </c>
    </row>
    <row r="351" spans="1:3" x14ac:dyDescent="0.25">
      <c r="A351">
        <v>59</v>
      </c>
      <c r="B351">
        <v>17700</v>
      </c>
      <c r="C351" t="s">
        <v>435</v>
      </c>
    </row>
    <row r="352" spans="1:3" x14ac:dyDescent="0.25">
      <c r="A352">
        <v>63</v>
      </c>
      <c r="B352">
        <v>15750</v>
      </c>
      <c r="C352" t="s">
        <v>436</v>
      </c>
    </row>
    <row r="353" spans="1:3" x14ac:dyDescent="0.25">
      <c r="A353">
        <v>29</v>
      </c>
      <c r="B353">
        <v>13050</v>
      </c>
      <c r="C353" t="s">
        <v>437</v>
      </c>
    </row>
    <row r="354" spans="1:3" x14ac:dyDescent="0.25">
      <c r="A354">
        <v>28</v>
      </c>
      <c r="B354">
        <v>19600</v>
      </c>
      <c r="C354" t="s">
        <v>438</v>
      </c>
    </row>
    <row r="355" spans="1:3" x14ac:dyDescent="0.25">
      <c r="A355">
        <v>77</v>
      </c>
      <c r="B355">
        <v>16940</v>
      </c>
      <c r="C355" t="s">
        <v>439</v>
      </c>
    </row>
    <row r="356" spans="1:3" x14ac:dyDescent="0.25">
      <c r="A356">
        <v>70</v>
      </c>
      <c r="B356">
        <v>21000</v>
      </c>
      <c r="C356" t="s">
        <v>440</v>
      </c>
    </row>
    <row r="357" spans="1:3" x14ac:dyDescent="0.25">
      <c r="A357">
        <v>36</v>
      </c>
      <c r="B357">
        <v>9000</v>
      </c>
      <c r="C357" t="s">
        <v>441</v>
      </c>
    </row>
    <row r="358" spans="1:3" x14ac:dyDescent="0.25">
      <c r="A358">
        <v>72</v>
      </c>
      <c r="B358">
        <v>32400</v>
      </c>
      <c r="C358" t="s">
        <v>442</v>
      </c>
    </row>
    <row r="359" spans="1:3" x14ac:dyDescent="0.25">
      <c r="A359">
        <v>37</v>
      </c>
      <c r="B359">
        <v>25900</v>
      </c>
      <c r="C359" t="s">
        <v>443</v>
      </c>
    </row>
    <row r="360" spans="1:3" x14ac:dyDescent="0.25">
      <c r="A360">
        <v>40</v>
      </c>
      <c r="B360">
        <v>8800</v>
      </c>
      <c r="C360" t="s">
        <v>444</v>
      </c>
    </row>
    <row r="361" spans="1:3" x14ac:dyDescent="0.25">
      <c r="A361">
        <v>72</v>
      </c>
      <c r="B361">
        <v>21600</v>
      </c>
      <c r="C361" t="s">
        <v>445</v>
      </c>
    </row>
    <row r="362" spans="1:3" x14ac:dyDescent="0.25">
      <c r="A362">
        <v>45</v>
      </c>
      <c r="B362">
        <v>11250</v>
      </c>
      <c r="C362" t="s">
        <v>446</v>
      </c>
    </row>
    <row r="363" spans="1:3" x14ac:dyDescent="0.25">
      <c r="A363">
        <v>27</v>
      </c>
      <c r="B363">
        <v>12150</v>
      </c>
      <c r="C363" t="s">
        <v>447</v>
      </c>
    </row>
    <row r="364" spans="1:3" x14ac:dyDescent="0.25">
      <c r="A364">
        <v>49</v>
      </c>
      <c r="B364">
        <v>34300</v>
      </c>
      <c r="C364" t="s">
        <v>448</v>
      </c>
    </row>
    <row r="365" spans="1:3" x14ac:dyDescent="0.25">
      <c r="A365">
        <v>20</v>
      </c>
      <c r="B365">
        <v>4400</v>
      </c>
      <c r="C365" t="s">
        <v>449</v>
      </c>
    </row>
    <row r="366" spans="1:3" x14ac:dyDescent="0.25">
      <c r="A366">
        <v>70</v>
      </c>
      <c r="B366">
        <v>21000</v>
      </c>
      <c r="C366" t="s">
        <v>450</v>
      </c>
    </row>
    <row r="367" spans="1:3" x14ac:dyDescent="0.25">
      <c r="A367">
        <v>72</v>
      </c>
      <c r="B367">
        <v>18000</v>
      </c>
      <c r="C367" t="s">
        <v>451</v>
      </c>
    </row>
    <row r="368" spans="1:3" x14ac:dyDescent="0.25">
      <c r="A368">
        <v>39</v>
      </c>
      <c r="B368">
        <v>17550</v>
      </c>
      <c r="C368" t="s">
        <v>452</v>
      </c>
    </row>
    <row r="369" spans="1:3" x14ac:dyDescent="0.25">
      <c r="A369">
        <v>41</v>
      </c>
      <c r="B369">
        <v>28700</v>
      </c>
      <c r="C369" t="s">
        <v>453</v>
      </c>
    </row>
    <row r="370" spans="1:3" x14ac:dyDescent="0.25">
      <c r="A370">
        <v>51</v>
      </c>
      <c r="B370">
        <v>11220</v>
      </c>
      <c r="C370" t="s">
        <v>454</v>
      </c>
    </row>
    <row r="371" spans="1:3" x14ac:dyDescent="0.25">
      <c r="A371">
        <v>50</v>
      </c>
      <c r="B371">
        <v>15000</v>
      </c>
      <c r="C371" t="s">
        <v>455</v>
      </c>
    </row>
    <row r="372" spans="1:3" x14ac:dyDescent="0.25">
      <c r="A372">
        <v>69</v>
      </c>
      <c r="B372">
        <v>17250</v>
      </c>
      <c r="C372" t="s">
        <v>456</v>
      </c>
    </row>
    <row r="373" spans="1:3" x14ac:dyDescent="0.25">
      <c r="A373">
        <v>49</v>
      </c>
      <c r="B373">
        <v>22050</v>
      </c>
      <c r="C373" t="s">
        <v>457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zoomScaleNormal="100" workbookViewId="0"/>
  </sheetViews>
  <sheetFormatPr baseColWidth="10" defaultColWidth="9.140625" defaultRowHeight="15" customHeight="1" x14ac:dyDescent="0.25"/>
  <cols>
    <col min="1" max="1" width="32" customWidth="1"/>
    <col min="2" max="2" width="110" customWidth="1"/>
  </cols>
  <sheetData>
    <row r="1" spans="1:2" x14ac:dyDescent="0.25">
      <c r="A1" s="17" t="s">
        <v>461</v>
      </c>
      <c r="B1" s="18"/>
    </row>
    <row r="2" spans="1:2" x14ac:dyDescent="0.25">
      <c r="A2" s="19" t="s">
        <v>462</v>
      </c>
      <c r="B2" s="18" t="s">
        <v>463</v>
      </c>
    </row>
    <row r="3" spans="1:2" x14ac:dyDescent="0.25">
      <c r="A3" s="17" t="s">
        <v>464</v>
      </c>
      <c r="B3" s="18" t="s">
        <v>465</v>
      </c>
    </row>
    <row r="4" spans="1:2" x14ac:dyDescent="0.25">
      <c r="A4" s="17" t="s">
        <v>466</v>
      </c>
      <c r="B4" s="18" t="s">
        <v>467</v>
      </c>
    </row>
    <row r="5" spans="1:2" ht="30" customHeight="1" x14ac:dyDescent="0.25">
      <c r="A5" s="17" t="s">
        <v>468</v>
      </c>
      <c r="B5" s="18" t="s">
        <v>469</v>
      </c>
    </row>
    <row r="6" spans="1:2" x14ac:dyDescent="0.25">
      <c r="A6" s="17" t="s">
        <v>470</v>
      </c>
      <c r="B6" s="18" t="s">
        <v>471</v>
      </c>
    </row>
    <row r="7" spans="1:2" x14ac:dyDescent="0.25">
      <c r="A7" s="17" t="s">
        <v>472</v>
      </c>
      <c r="B7" s="18" t="s">
        <v>473</v>
      </c>
    </row>
    <row r="8" spans="1:2" x14ac:dyDescent="0.25">
      <c r="A8" s="17" t="s">
        <v>474</v>
      </c>
      <c r="B8" s="18" t="s">
        <v>475</v>
      </c>
    </row>
    <row r="9" spans="1:2" x14ac:dyDescent="0.25">
      <c r="A9" s="17" t="s">
        <v>476</v>
      </c>
      <c r="B9" s="18" t="s">
        <v>477</v>
      </c>
    </row>
    <row r="10" spans="1:2" x14ac:dyDescent="0.25">
      <c r="A10" s="17" t="s">
        <v>478</v>
      </c>
      <c r="B10" s="18" t="s">
        <v>479</v>
      </c>
    </row>
    <row r="11" spans="1:2" ht="30" customHeight="1" x14ac:dyDescent="0.25">
      <c r="A11" s="17" t="s">
        <v>480</v>
      </c>
      <c r="B11" s="18" t="s">
        <v>481</v>
      </c>
    </row>
    <row r="12" spans="1:2" ht="45" customHeight="1" x14ac:dyDescent="0.25">
      <c r="A12" s="17" t="s">
        <v>482</v>
      </c>
      <c r="B12" s="18" t="s">
        <v>483</v>
      </c>
    </row>
    <row r="13" spans="1:2" ht="30" customHeight="1" x14ac:dyDescent="0.25">
      <c r="A13" s="17" t="s">
        <v>484</v>
      </c>
      <c r="B13" s="18" t="s">
        <v>485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Dashboard Final</vt:lpstr>
      <vt:lpstr>Datos_Ventas</vt:lpstr>
      <vt:lpstr>Resumen_Mensual</vt:lpstr>
      <vt:lpstr>Resumen_Categoria</vt:lpstr>
      <vt:lpstr>Resumen_Region</vt:lpstr>
      <vt:lpstr>Datos_Grafico_Dispersion</vt:lpstr>
      <vt:lpstr>IA_Insights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VANINA ALVARADO</dc:creator>
  <cp:lastModifiedBy>vaninav.alvarado@gmail.com</cp:lastModifiedBy>
  <dcterms:created xsi:type="dcterms:W3CDTF">2026-10-02T23:10:31Z</dcterms:created>
  <dcterms:modified xsi:type="dcterms:W3CDTF">2026-10-02T23:10:31Z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2026-10-01T01:14:11Z</dcterms:created>
  <dc:creator>vaninav.alvarado@gmail.com</dc:creator>
  <dc:description/>
  <dc:language>en-US</dc:language>
  <cp:lastModifiedBy>vaninav.alvarado@gmail.com</cp:lastModifiedBy>
  <dcterms:modified xsi:type="dcterms:W3CDTF">2026-10-02T21:54:03Z</dcterms:modified>
  <cp:revision>0</cp:revision>
  <dc:subject/>
  <dc:title/>
</cp:coreProperties>
</file>